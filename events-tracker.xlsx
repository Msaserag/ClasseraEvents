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lasserasa-my.sharepoint.com/personal/m_serag_classera_com/Documents/AY26 Classera PS Training Unit Initiatives &amp; Activities/AY26-27 eLearning Plan/Outputs/Tracking/GitHub Dashboard v1/tracker/"/>
    </mc:Choice>
  </mc:AlternateContent>
  <xr:revisionPtr revIDLastSave="21" documentId="11_507D5CC99E470BA887B11755035F775AF4CD539E" xr6:coauthVersionLast="47" xr6:coauthVersionMax="47" xr10:uidLastSave="{840EC967-AFB1-483F-82D2-AEB7B22E8208}"/>
  <bookViews>
    <workbookView xWindow="-120" yWindow="-120" windowWidth="29040" windowHeight="15720" tabRatio="500" activeTab="2" xr2:uid="{00000000-000D-0000-FFFF-FFFF00000000}"/>
  </bookViews>
  <sheets>
    <sheet name="Summary" sheetId="1" r:id="rId1"/>
    <sheet name="Guide" sheetId="2" r:id="rId2"/>
    <sheet name="Events" sheetId="3" r:id="rId3"/>
    <sheet name="Lists" sheetId="4" r:id="rId4"/>
    <sheet name="Off-Period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5" l="1"/>
  <c r="F10" i="5"/>
  <c r="F9" i="5"/>
  <c r="F8" i="5"/>
  <c r="F7" i="5"/>
  <c r="F6" i="5"/>
  <c r="F5" i="5"/>
  <c r="F4" i="5"/>
  <c r="F3" i="5"/>
  <c r="F2" i="5"/>
  <c r="AF81" i="3"/>
  <c r="AE81" i="3"/>
  <c r="Z81" i="3"/>
  <c r="T81" i="3"/>
  <c r="L81" i="3"/>
  <c r="K81" i="3"/>
  <c r="J81" i="3"/>
  <c r="AF80" i="3"/>
  <c r="AE80" i="3"/>
  <c r="Z80" i="3"/>
  <c r="T80" i="3"/>
  <c r="L80" i="3"/>
  <c r="K80" i="3"/>
  <c r="J80" i="3"/>
  <c r="AF79" i="3"/>
  <c r="AE79" i="3"/>
  <c r="Z79" i="3"/>
  <c r="T79" i="3"/>
  <c r="L79" i="3"/>
  <c r="K79" i="3"/>
  <c r="J79" i="3"/>
  <c r="AF78" i="3"/>
  <c r="AE78" i="3"/>
  <c r="Z78" i="3"/>
  <c r="T78" i="3"/>
  <c r="L78" i="3"/>
  <c r="K78" i="3"/>
  <c r="J78" i="3"/>
  <c r="AF77" i="3"/>
  <c r="AE77" i="3"/>
  <c r="AG77" i="3" s="1"/>
  <c r="Z77" i="3"/>
  <c r="T77" i="3"/>
  <c r="L77" i="3"/>
  <c r="K77" i="3"/>
  <c r="J77" i="3"/>
  <c r="AF76" i="3"/>
  <c r="AE76" i="3"/>
  <c r="AG76" i="3" s="1"/>
  <c r="Z76" i="3"/>
  <c r="T76" i="3"/>
  <c r="L76" i="3"/>
  <c r="K76" i="3"/>
  <c r="J76" i="3"/>
  <c r="AF75" i="3"/>
  <c r="AE75" i="3"/>
  <c r="Z75" i="3"/>
  <c r="T75" i="3"/>
  <c r="L75" i="3"/>
  <c r="K75" i="3"/>
  <c r="J75" i="3"/>
  <c r="AF74" i="3"/>
  <c r="AE74" i="3"/>
  <c r="Z74" i="3"/>
  <c r="T74" i="3"/>
  <c r="G11" i="1" s="1"/>
  <c r="L74" i="3"/>
  <c r="K74" i="3"/>
  <c r="J74" i="3"/>
  <c r="AF73" i="3"/>
  <c r="AE73" i="3"/>
  <c r="Z73" i="3"/>
  <c r="T73" i="3"/>
  <c r="L73" i="3"/>
  <c r="K73" i="3"/>
  <c r="J73" i="3"/>
  <c r="AF72" i="3"/>
  <c r="AE72" i="3"/>
  <c r="Z72" i="3"/>
  <c r="T72" i="3"/>
  <c r="L72" i="3"/>
  <c r="K72" i="3"/>
  <c r="J72" i="3"/>
  <c r="AF71" i="3"/>
  <c r="AE71" i="3"/>
  <c r="Z71" i="3"/>
  <c r="T71" i="3"/>
  <c r="L71" i="3"/>
  <c r="K71" i="3"/>
  <c r="J71" i="3"/>
  <c r="AF70" i="3"/>
  <c r="AE70" i="3"/>
  <c r="Z70" i="3"/>
  <c r="T70" i="3"/>
  <c r="L70" i="3"/>
  <c r="K70" i="3"/>
  <c r="J70" i="3"/>
  <c r="AF69" i="3"/>
  <c r="AE69" i="3"/>
  <c r="AG69" i="3" s="1"/>
  <c r="Z69" i="3"/>
  <c r="T69" i="3"/>
  <c r="L69" i="3"/>
  <c r="K69" i="3"/>
  <c r="J69" i="3"/>
  <c r="AF68" i="3"/>
  <c r="AE68" i="3"/>
  <c r="AG68" i="3" s="1"/>
  <c r="Z68" i="3"/>
  <c r="T68" i="3"/>
  <c r="L68" i="3"/>
  <c r="K68" i="3"/>
  <c r="J68" i="3"/>
  <c r="AF67" i="3"/>
  <c r="AE67" i="3"/>
  <c r="Z67" i="3"/>
  <c r="T67" i="3"/>
  <c r="L67" i="3"/>
  <c r="K67" i="3"/>
  <c r="J67" i="3"/>
  <c r="AF66" i="3"/>
  <c r="AE66" i="3"/>
  <c r="Z66" i="3"/>
  <c r="T66" i="3"/>
  <c r="L66" i="3"/>
  <c r="K66" i="3"/>
  <c r="J66" i="3"/>
  <c r="AF65" i="3"/>
  <c r="AE65" i="3"/>
  <c r="Z65" i="3"/>
  <c r="T65" i="3"/>
  <c r="L65" i="3"/>
  <c r="K65" i="3"/>
  <c r="J65" i="3"/>
  <c r="AF64" i="3"/>
  <c r="AE64" i="3"/>
  <c r="AG64" i="3" s="1"/>
  <c r="Z64" i="3"/>
  <c r="T64" i="3"/>
  <c r="L64" i="3"/>
  <c r="K64" i="3"/>
  <c r="J64" i="3"/>
  <c r="AF63" i="3"/>
  <c r="AE63" i="3"/>
  <c r="Z63" i="3"/>
  <c r="T63" i="3"/>
  <c r="L63" i="3"/>
  <c r="K63" i="3"/>
  <c r="J63" i="3"/>
  <c r="AF62" i="3"/>
  <c r="AE62" i="3"/>
  <c r="Z62" i="3"/>
  <c r="T62" i="3"/>
  <c r="L62" i="3"/>
  <c r="K62" i="3"/>
  <c r="J62" i="3"/>
  <c r="AF61" i="3"/>
  <c r="AE61" i="3"/>
  <c r="AG61" i="3" s="1"/>
  <c r="Z61" i="3"/>
  <c r="T61" i="3"/>
  <c r="L61" i="3"/>
  <c r="K61" i="3"/>
  <c r="J61" i="3"/>
  <c r="AF60" i="3"/>
  <c r="AE60" i="3"/>
  <c r="AG60" i="3" s="1"/>
  <c r="Z60" i="3"/>
  <c r="T60" i="3"/>
  <c r="L60" i="3"/>
  <c r="K60" i="3"/>
  <c r="J60" i="3"/>
  <c r="AF59" i="3"/>
  <c r="AE59" i="3"/>
  <c r="Z59" i="3"/>
  <c r="T59" i="3"/>
  <c r="L59" i="3"/>
  <c r="K59" i="3"/>
  <c r="J59" i="3"/>
  <c r="AF58" i="3"/>
  <c r="AE58" i="3"/>
  <c r="Z58" i="3"/>
  <c r="T58" i="3"/>
  <c r="L58" i="3"/>
  <c r="K58" i="3"/>
  <c r="J58" i="3"/>
  <c r="AF57" i="3"/>
  <c r="AE57" i="3"/>
  <c r="Z57" i="3"/>
  <c r="T57" i="3"/>
  <c r="L57" i="3"/>
  <c r="K57" i="3"/>
  <c r="J57" i="3"/>
  <c r="AF56" i="3"/>
  <c r="AE56" i="3"/>
  <c r="AG56" i="3" s="1"/>
  <c r="Z56" i="3"/>
  <c r="T56" i="3"/>
  <c r="L56" i="3"/>
  <c r="K56" i="3"/>
  <c r="J56" i="3"/>
  <c r="AF55" i="3"/>
  <c r="AE55" i="3"/>
  <c r="Z55" i="3"/>
  <c r="T55" i="3"/>
  <c r="L55" i="3"/>
  <c r="K55" i="3"/>
  <c r="J55" i="3"/>
  <c r="AF54" i="3"/>
  <c r="AE54" i="3"/>
  <c r="Z54" i="3"/>
  <c r="T54" i="3"/>
  <c r="L54" i="3"/>
  <c r="K54" i="3"/>
  <c r="J54" i="3"/>
  <c r="AF53" i="3"/>
  <c r="AE53" i="3"/>
  <c r="AG53" i="3" s="1"/>
  <c r="Z53" i="3"/>
  <c r="T53" i="3"/>
  <c r="L53" i="3"/>
  <c r="K53" i="3"/>
  <c r="J53" i="3"/>
  <c r="AF52" i="3"/>
  <c r="AE52" i="3"/>
  <c r="AG52" i="3" s="1"/>
  <c r="Z52" i="3"/>
  <c r="T52" i="3"/>
  <c r="L52" i="3"/>
  <c r="K52" i="3"/>
  <c r="J52" i="3"/>
  <c r="AF51" i="3"/>
  <c r="AE51" i="3"/>
  <c r="Z51" i="3"/>
  <c r="T51" i="3"/>
  <c r="L51" i="3"/>
  <c r="K51" i="3"/>
  <c r="J51" i="3"/>
  <c r="AF50" i="3"/>
  <c r="AE50" i="3"/>
  <c r="Z50" i="3"/>
  <c r="T50" i="3"/>
  <c r="L50" i="3"/>
  <c r="K50" i="3"/>
  <c r="J50" i="3"/>
  <c r="AF49" i="3"/>
  <c r="AE49" i="3"/>
  <c r="Z49" i="3"/>
  <c r="T49" i="3"/>
  <c r="L49" i="3"/>
  <c r="K49" i="3"/>
  <c r="J49" i="3"/>
  <c r="AF48" i="3"/>
  <c r="AE48" i="3"/>
  <c r="AG48" i="3" s="1"/>
  <c r="Z48" i="3"/>
  <c r="T48" i="3"/>
  <c r="L48" i="3"/>
  <c r="K48" i="3"/>
  <c r="J48" i="3"/>
  <c r="AF47" i="3"/>
  <c r="AE47" i="3"/>
  <c r="Z47" i="3"/>
  <c r="T47" i="3"/>
  <c r="L47" i="3"/>
  <c r="K47" i="3"/>
  <c r="J47" i="3"/>
  <c r="AF46" i="3"/>
  <c r="AE46" i="3"/>
  <c r="Z46" i="3"/>
  <c r="T46" i="3"/>
  <c r="L46" i="3"/>
  <c r="K46" i="3"/>
  <c r="J46" i="3"/>
  <c r="AF45" i="3"/>
  <c r="AE45" i="3"/>
  <c r="AG45" i="3" s="1"/>
  <c r="Z45" i="3"/>
  <c r="T45" i="3"/>
  <c r="L45" i="3"/>
  <c r="K45" i="3"/>
  <c r="J45" i="3"/>
  <c r="AF44" i="3"/>
  <c r="AE44" i="3"/>
  <c r="AG44" i="3" s="1"/>
  <c r="Z44" i="3"/>
  <c r="T44" i="3"/>
  <c r="L44" i="3"/>
  <c r="K44" i="3"/>
  <c r="J44" i="3"/>
  <c r="AF43" i="3"/>
  <c r="AE43" i="3"/>
  <c r="Z43" i="3"/>
  <c r="T43" i="3"/>
  <c r="L43" i="3"/>
  <c r="K43" i="3"/>
  <c r="J43" i="3"/>
  <c r="AF42" i="3"/>
  <c r="AE42" i="3"/>
  <c r="Z42" i="3"/>
  <c r="T42" i="3"/>
  <c r="L42" i="3"/>
  <c r="K42" i="3"/>
  <c r="J42" i="3"/>
  <c r="AF41" i="3"/>
  <c r="AE41" i="3"/>
  <c r="Z41" i="3"/>
  <c r="T41" i="3"/>
  <c r="L41" i="3"/>
  <c r="K41" i="3"/>
  <c r="J41" i="3"/>
  <c r="AF40" i="3"/>
  <c r="AE40" i="3"/>
  <c r="AG40" i="3" s="1"/>
  <c r="Z40" i="3"/>
  <c r="T40" i="3"/>
  <c r="L40" i="3"/>
  <c r="K40" i="3"/>
  <c r="J40" i="3"/>
  <c r="AF39" i="3"/>
  <c r="AE39" i="3"/>
  <c r="Z39" i="3"/>
  <c r="T39" i="3"/>
  <c r="L39" i="3"/>
  <c r="K39" i="3"/>
  <c r="J39" i="3"/>
  <c r="AF38" i="3"/>
  <c r="AE38" i="3"/>
  <c r="Z38" i="3"/>
  <c r="T38" i="3"/>
  <c r="L38" i="3"/>
  <c r="K38" i="3"/>
  <c r="J38" i="3"/>
  <c r="AF37" i="3"/>
  <c r="AE37" i="3"/>
  <c r="AG37" i="3" s="1"/>
  <c r="Z37" i="3"/>
  <c r="T37" i="3"/>
  <c r="L37" i="3"/>
  <c r="K37" i="3"/>
  <c r="J37" i="3"/>
  <c r="AF36" i="3"/>
  <c r="AE36" i="3"/>
  <c r="AG36" i="3" s="1"/>
  <c r="Z36" i="3"/>
  <c r="T36" i="3"/>
  <c r="L36" i="3"/>
  <c r="K36" i="3"/>
  <c r="J36" i="3"/>
  <c r="AF35" i="3"/>
  <c r="AE35" i="3"/>
  <c r="Z35" i="3"/>
  <c r="T35" i="3"/>
  <c r="L35" i="3"/>
  <c r="K35" i="3"/>
  <c r="J35" i="3"/>
  <c r="AF34" i="3"/>
  <c r="AE34" i="3"/>
  <c r="AG34" i="3" s="1"/>
  <c r="Z34" i="3"/>
  <c r="T34" i="3"/>
  <c r="G9" i="1" s="1"/>
  <c r="L34" i="3"/>
  <c r="K34" i="3"/>
  <c r="J34" i="3"/>
  <c r="AF33" i="3"/>
  <c r="AE33" i="3"/>
  <c r="Z33" i="3"/>
  <c r="T33" i="3"/>
  <c r="L33" i="3"/>
  <c r="K33" i="3"/>
  <c r="J33" i="3"/>
  <c r="AF32" i="3"/>
  <c r="AE32" i="3"/>
  <c r="AG32" i="3" s="1"/>
  <c r="Z32" i="3"/>
  <c r="T32" i="3"/>
  <c r="L32" i="3"/>
  <c r="K32" i="3"/>
  <c r="J32" i="3"/>
  <c r="AF31" i="3"/>
  <c r="AE31" i="3"/>
  <c r="AG31" i="3" s="1"/>
  <c r="Z31" i="3"/>
  <c r="T31" i="3"/>
  <c r="L31" i="3"/>
  <c r="K31" i="3"/>
  <c r="J31" i="3"/>
  <c r="AF30" i="3"/>
  <c r="AE30" i="3"/>
  <c r="Z30" i="3"/>
  <c r="T30" i="3"/>
  <c r="L30" i="3"/>
  <c r="K30" i="3"/>
  <c r="J30" i="3"/>
  <c r="AF29" i="3"/>
  <c r="AE29" i="3"/>
  <c r="AG29" i="3" s="1"/>
  <c r="Z29" i="3"/>
  <c r="T29" i="3"/>
  <c r="L29" i="3"/>
  <c r="K29" i="3"/>
  <c r="J29" i="3"/>
  <c r="AF28" i="3"/>
  <c r="AE28" i="3"/>
  <c r="AG28" i="3" s="1"/>
  <c r="Z28" i="3"/>
  <c r="T28" i="3"/>
  <c r="L28" i="3"/>
  <c r="K28" i="3"/>
  <c r="J28" i="3"/>
  <c r="AF27" i="3"/>
  <c r="AE27" i="3"/>
  <c r="Z27" i="3"/>
  <c r="T27" i="3"/>
  <c r="L27" i="3"/>
  <c r="K27" i="3"/>
  <c r="J27" i="3"/>
  <c r="AF26" i="3"/>
  <c r="AE26" i="3"/>
  <c r="Z26" i="3"/>
  <c r="T26" i="3"/>
  <c r="L26" i="3"/>
  <c r="K26" i="3"/>
  <c r="J26" i="3"/>
  <c r="AF25" i="3"/>
  <c r="AE25" i="3"/>
  <c r="Z25" i="3"/>
  <c r="T25" i="3"/>
  <c r="L25" i="3"/>
  <c r="K25" i="3"/>
  <c r="J25" i="3"/>
  <c r="AF24" i="3"/>
  <c r="AE24" i="3"/>
  <c r="AG24" i="3" s="1"/>
  <c r="Z24" i="3"/>
  <c r="T24" i="3"/>
  <c r="L24" i="3"/>
  <c r="K24" i="3"/>
  <c r="J24" i="3"/>
  <c r="AF23" i="3"/>
  <c r="AE23" i="3"/>
  <c r="AG23" i="3" s="1"/>
  <c r="Z23" i="3"/>
  <c r="T23" i="3"/>
  <c r="L23" i="3"/>
  <c r="K23" i="3"/>
  <c r="J23" i="3"/>
  <c r="AF22" i="3"/>
  <c r="AE22" i="3"/>
  <c r="AG22" i="3" s="1"/>
  <c r="Z22" i="3"/>
  <c r="T22" i="3"/>
  <c r="L22" i="3"/>
  <c r="K22" i="3"/>
  <c r="J22" i="3"/>
  <c r="AF21" i="3"/>
  <c r="AE21" i="3"/>
  <c r="AG21" i="3" s="1"/>
  <c r="Z21" i="3"/>
  <c r="T21" i="3"/>
  <c r="L21" i="3"/>
  <c r="K21" i="3"/>
  <c r="J21" i="3"/>
  <c r="AF20" i="3"/>
  <c r="AE20" i="3"/>
  <c r="Z20" i="3"/>
  <c r="T20" i="3"/>
  <c r="L20" i="3"/>
  <c r="K20" i="3"/>
  <c r="J20" i="3"/>
  <c r="AF19" i="3"/>
  <c r="AE19" i="3"/>
  <c r="Z19" i="3"/>
  <c r="T19" i="3"/>
  <c r="L19" i="3"/>
  <c r="K19" i="3"/>
  <c r="J19" i="3"/>
  <c r="AF18" i="3"/>
  <c r="AE18" i="3"/>
  <c r="Z18" i="3"/>
  <c r="T18" i="3"/>
  <c r="L18" i="3"/>
  <c r="K18" i="3"/>
  <c r="J18" i="3"/>
  <c r="AF17" i="3"/>
  <c r="AE17" i="3"/>
  <c r="Z17" i="3"/>
  <c r="T17" i="3"/>
  <c r="L17" i="3"/>
  <c r="K17" i="3"/>
  <c r="J17" i="3"/>
  <c r="AF16" i="3"/>
  <c r="AE16" i="3"/>
  <c r="AG16" i="3" s="1"/>
  <c r="Z16" i="3"/>
  <c r="T16" i="3"/>
  <c r="L16" i="3"/>
  <c r="K16" i="3"/>
  <c r="J16" i="3"/>
  <c r="AF15" i="3"/>
  <c r="AE15" i="3"/>
  <c r="AG15" i="3" s="1"/>
  <c r="Z15" i="3"/>
  <c r="T15" i="3"/>
  <c r="L15" i="3"/>
  <c r="K15" i="3"/>
  <c r="J15" i="3"/>
  <c r="AF14" i="3"/>
  <c r="AE14" i="3"/>
  <c r="AG14" i="3" s="1"/>
  <c r="Z14" i="3"/>
  <c r="T14" i="3"/>
  <c r="L14" i="3"/>
  <c r="K14" i="3"/>
  <c r="J14" i="3"/>
  <c r="AF13" i="3"/>
  <c r="AE13" i="3"/>
  <c r="AG13" i="3" s="1"/>
  <c r="Z13" i="3"/>
  <c r="T13" i="3"/>
  <c r="L13" i="3"/>
  <c r="K13" i="3"/>
  <c r="J13" i="3"/>
  <c r="AF12" i="3"/>
  <c r="AE12" i="3"/>
  <c r="Z12" i="3"/>
  <c r="T12" i="3"/>
  <c r="L12" i="3"/>
  <c r="K12" i="3"/>
  <c r="J12" i="3"/>
  <c r="AF11" i="3"/>
  <c r="AE11" i="3"/>
  <c r="Z11" i="3"/>
  <c r="T11" i="3"/>
  <c r="L11" i="3"/>
  <c r="K11" i="3"/>
  <c r="J11" i="3"/>
  <c r="AF10" i="3"/>
  <c r="AE10" i="3"/>
  <c r="Z10" i="3"/>
  <c r="T10" i="3"/>
  <c r="L10" i="3"/>
  <c r="K10" i="3"/>
  <c r="J10" i="3"/>
  <c r="AF9" i="3"/>
  <c r="AE9" i="3"/>
  <c r="Z9" i="3"/>
  <c r="T9" i="3"/>
  <c r="L9" i="3"/>
  <c r="K9" i="3"/>
  <c r="J9" i="3"/>
  <c r="AF8" i="3"/>
  <c r="AE8" i="3"/>
  <c r="AG8" i="3" s="1"/>
  <c r="Z8" i="3"/>
  <c r="T8" i="3"/>
  <c r="L8" i="3"/>
  <c r="K8" i="3"/>
  <c r="J8" i="3"/>
  <c r="AF7" i="3"/>
  <c r="AE7" i="3"/>
  <c r="AG7" i="3" s="1"/>
  <c r="Z7" i="3"/>
  <c r="T7" i="3"/>
  <c r="L7" i="3"/>
  <c r="K7" i="3"/>
  <c r="J7" i="3"/>
  <c r="AF6" i="3"/>
  <c r="AE6" i="3"/>
  <c r="AG6" i="3" s="1"/>
  <c r="Z6" i="3"/>
  <c r="T6" i="3"/>
  <c r="L6" i="3"/>
  <c r="K6" i="3"/>
  <c r="J6" i="3"/>
  <c r="AF5" i="3"/>
  <c r="AE5" i="3"/>
  <c r="AG5" i="3" s="1"/>
  <c r="Z5" i="3"/>
  <c r="T5" i="3"/>
  <c r="L5" i="3"/>
  <c r="K5" i="3"/>
  <c r="J5" i="3"/>
  <c r="AF4" i="3"/>
  <c r="AE4" i="3"/>
  <c r="AG4" i="3" s="1"/>
  <c r="Z4" i="3"/>
  <c r="T4" i="3"/>
  <c r="L4" i="3"/>
  <c r="K4" i="3"/>
  <c r="J4" i="3"/>
  <c r="AF3" i="3"/>
  <c r="AE3" i="3"/>
  <c r="AG3" i="3" s="1"/>
  <c r="Z3" i="3"/>
  <c r="T3" i="3"/>
  <c r="L3" i="3"/>
  <c r="K3" i="3"/>
  <c r="J3" i="3"/>
  <c r="AF2" i="3"/>
  <c r="AE2" i="3"/>
  <c r="Z2" i="3"/>
  <c r="T2" i="3"/>
  <c r="L2" i="3"/>
  <c r="K2" i="3"/>
  <c r="J2" i="3"/>
  <c r="H16" i="1"/>
  <c r="G16" i="1"/>
  <c r="F16" i="1"/>
  <c r="E16" i="1"/>
  <c r="D16" i="1"/>
  <c r="C16" i="1"/>
  <c r="M12" i="1"/>
  <c r="K12" i="1"/>
  <c r="J12" i="1"/>
  <c r="L12" i="1" s="1"/>
  <c r="I12" i="1"/>
  <c r="F12" i="1"/>
  <c r="C12" i="1"/>
  <c r="M11" i="1"/>
  <c r="K11" i="1"/>
  <c r="J11" i="1"/>
  <c r="L11" i="1" s="1"/>
  <c r="I11" i="1"/>
  <c r="F11" i="1"/>
  <c r="C11" i="1"/>
  <c r="M10" i="1"/>
  <c r="K10" i="1"/>
  <c r="J10" i="1"/>
  <c r="L10" i="1" s="1"/>
  <c r="I10" i="1"/>
  <c r="F10" i="1"/>
  <c r="C10" i="1"/>
  <c r="M9" i="1"/>
  <c r="K9" i="1"/>
  <c r="J9" i="1"/>
  <c r="L9" i="1" s="1"/>
  <c r="I9" i="1"/>
  <c r="H9" i="1"/>
  <c r="F9" i="1"/>
  <c r="C9" i="1"/>
  <c r="M8" i="1"/>
  <c r="K8" i="1"/>
  <c r="J8" i="1"/>
  <c r="L8" i="1" s="1"/>
  <c r="I8" i="1"/>
  <c r="F8" i="1"/>
  <c r="C8" i="1"/>
  <c r="M7" i="1"/>
  <c r="K7" i="1"/>
  <c r="J7" i="1"/>
  <c r="L7" i="1" s="1"/>
  <c r="I7" i="1"/>
  <c r="F7" i="1"/>
  <c r="C7" i="1"/>
  <c r="C4" i="1"/>
  <c r="E8" i="1" l="1"/>
  <c r="D10" i="1"/>
  <c r="D9" i="1"/>
  <c r="E7" i="1"/>
  <c r="D11" i="1"/>
  <c r="E11" i="1"/>
  <c r="E10" i="1"/>
  <c r="E9" i="1"/>
  <c r="D12" i="1"/>
  <c r="E12" i="1"/>
  <c r="D7" i="1"/>
  <c r="D8" i="1"/>
  <c r="H12" i="1"/>
  <c r="G12" i="1"/>
  <c r="AG20" i="3"/>
  <c r="H10" i="1"/>
  <c r="G10" i="1"/>
  <c r="G7" i="1"/>
  <c r="AG11" i="3"/>
  <c r="AG19" i="3"/>
  <c r="AG27" i="3"/>
  <c r="AG35" i="3"/>
  <c r="AG43" i="3"/>
  <c r="AG51" i="3"/>
  <c r="AG59" i="3"/>
  <c r="AG67" i="3"/>
  <c r="AG75" i="3"/>
  <c r="AG10" i="3"/>
  <c r="AG18" i="3"/>
  <c r="AG26" i="3"/>
  <c r="AG42" i="3"/>
  <c r="AG50" i="3"/>
  <c r="AG58" i="3"/>
  <c r="AG66" i="3"/>
  <c r="N10" i="1" s="1"/>
  <c r="AG74" i="3"/>
  <c r="H7" i="1"/>
  <c r="AG9" i="3"/>
  <c r="H8" i="1"/>
  <c r="G8" i="1"/>
  <c r="AG17" i="3"/>
  <c r="AG25" i="3"/>
  <c r="AG33" i="3"/>
  <c r="AG41" i="3"/>
  <c r="AG49" i="3"/>
  <c r="AG57" i="3"/>
  <c r="AG65" i="3"/>
  <c r="AG73" i="3"/>
  <c r="AG81" i="3"/>
  <c r="AG12" i="3"/>
  <c r="H11" i="1"/>
  <c r="AG72" i="3"/>
  <c r="AG80" i="3"/>
  <c r="AG39" i="3"/>
  <c r="AG47" i="3"/>
  <c r="AG55" i="3"/>
  <c r="AG63" i="3"/>
  <c r="AG71" i="3"/>
  <c r="AG79" i="3"/>
  <c r="AG30" i="3"/>
  <c r="AG38" i="3"/>
  <c r="AG46" i="3"/>
  <c r="AG54" i="3"/>
  <c r="AG62" i="3"/>
  <c r="AG70" i="3"/>
  <c r="AG78" i="3"/>
  <c r="AG2" i="3"/>
  <c r="N8" i="1" l="1"/>
  <c r="N11" i="1"/>
  <c r="N9" i="1"/>
  <c r="C22" i="1"/>
  <c r="C21" i="1"/>
  <c r="N12" i="1"/>
  <c r="C20" i="1"/>
  <c r="N7" i="1"/>
</calcChain>
</file>

<file path=xl/sharedStrings.xml><?xml version="1.0" encoding="utf-8"?>
<sst xmlns="http://schemas.openxmlformats.org/spreadsheetml/2006/main" count="1205" uniqueCount="439">
  <si>
    <t>AY26-27 Classera Plans | Events Tracker</t>
  </si>
  <si>
    <t>Live summary from the Events sheet. Every number below is a formula, so it updates as you edit the tracker.</t>
  </si>
  <si>
    <t>Today</t>
  </si>
  <si>
    <t>Program</t>
  </si>
  <si>
    <t>Events</t>
  </si>
  <si>
    <t>Upcoming</t>
  </si>
  <si>
    <t>Next 14 days</t>
  </si>
  <si>
    <t>Date TBC</t>
  </si>
  <si>
    <t>Links Published</t>
  </si>
  <si>
    <t>Links Missing</t>
  </si>
  <si>
    <t>Delivered</t>
  </si>
  <si>
    <t>Registrations</t>
  </si>
  <si>
    <t>Attendees</t>
  </si>
  <si>
    <t>Attendance Rate</t>
  </si>
  <si>
    <t>Avg Satisfaction</t>
  </si>
  <si>
    <t>Open Flags</t>
  </si>
  <si>
    <t>Professional Development</t>
  </si>
  <si>
    <t>Accreditation</t>
  </si>
  <si>
    <t>Enrichment Academy</t>
  </si>
  <si>
    <t>Product Events</t>
  </si>
  <si>
    <t>In-Person Events</t>
  </si>
  <si>
    <t>Total</t>
  </si>
  <si>
    <t>Status pipeline</t>
  </si>
  <si>
    <t>Planned</t>
  </si>
  <si>
    <t>Confirmed</t>
  </si>
  <si>
    <t>Registration Open</t>
  </si>
  <si>
    <t>Postponed</t>
  </si>
  <si>
    <t>Cancelled</t>
  </si>
  <si>
    <t>Follow-up flags</t>
  </si>
  <si>
    <t>Update status</t>
  </si>
  <si>
    <t>Event date has passed but Event Status is not Delivered, Postponed or Cancelled</t>
  </si>
  <si>
    <t>Add link</t>
  </si>
  <si>
    <t>Event starts within 14 days (or is running) and has no registration link</t>
  </si>
  <si>
    <t>Announce</t>
  </si>
  <si>
    <t>Event starts within 14 days and the announcement is not Published yet</t>
  </si>
  <si>
    <t>How to use this tracker</t>
  </si>
  <si>
    <t>Source</t>
  </si>
  <si>
    <t>All 80 events were pulled from plans.classera.com on 1 Oct 2026 (PD plan, Accreditation calendar, Enrichment plan, Product Events, In-Person Events, Full Calendar).</t>
  </si>
  <si>
    <t>Column colors</t>
  </si>
  <si>
    <t>Navy headers = plan data from the site. Gold headers (light-yellow cells) = your tracking inputs. Grey headers = formulas, do not type over them.</t>
  </si>
  <si>
    <t>Daily follow-up</t>
  </si>
  <si>
    <t>Filter the Events sheet on Action Flag, or check the Follow-up flags block on the Summary sheet.</t>
  </si>
  <si>
    <t>Event Status</t>
  </si>
  <si>
    <t>Planned &gt; Confirmed &gt; Registration Open &gt; Delivered. Use Postponed or Cancelled when needed. Past events stay flagged until you set a final status.</t>
  </si>
  <si>
    <t>Date Status</t>
  </si>
  <si>
    <t>"Day TBC" rows use the 1st of the month as Start Date and the month end as End Date until the day is confirmed. Update both dates and set Date Status to Confirmed.</t>
  </si>
  <si>
    <t>Registration Link</t>
  </si>
  <si>
    <t>Paste the course or short link. Link Status turns Published automatically. Keep it in sync with links.json on the plans site.</t>
  </si>
  <si>
    <t>Adding events</t>
  </si>
  <si>
    <t>Type in the first empty row under the table: it extends automatically and the formulas fill down. Use a new Event ID with the program prefix (PD-, ACC-, ENR-, PRD-, INP-).</t>
  </si>
  <si>
    <t>Dropdown options</t>
  </si>
  <si>
    <t>Edit the Lists sheet to change the options for Program, Event Status, Announcement Status, Date Status, Delivery Mode and Pricing.</t>
  </si>
  <si>
    <t>Dashboard</t>
  </si>
  <si>
    <t>Open the AY26-27 Events Dashboard and drop this file on it (or click Load tracker). It reads the Events sheet by column name, so keep the header names unchanged. Save a new version number each time (v2, v3...).</t>
  </si>
  <si>
    <t>Example row</t>
  </si>
  <si>
    <t>PD-S01 shows a complete row: confirmed date, published link and Registration Open status. Fill Owner, Registrations, Attendees and Satisfaction % after delivery.</t>
  </si>
  <si>
    <t>Event ID</t>
  </si>
  <si>
    <t>Track</t>
  </si>
  <si>
    <t>Event Title (EN)</t>
  </si>
  <si>
    <t>Event Title (AR)</t>
  </si>
  <si>
    <t>Partner / Host</t>
  </si>
  <si>
    <t>Start Date</t>
  </si>
  <si>
    <t>End Date</t>
  </si>
  <si>
    <t>Month</t>
  </si>
  <si>
    <t>Semester</t>
  </si>
  <si>
    <t>Day</t>
  </si>
  <si>
    <t>Time (KSA)</t>
  </si>
  <si>
    <t>Audience</t>
  </si>
  <si>
    <t>Language</t>
  </si>
  <si>
    <t>Country / Location</t>
  </si>
  <si>
    <t>Delivery Mode</t>
  </si>
  <si>
    <t>Pricing</t>
  </si>
  <si>
    <t>Link Status</t>
  </si>
  <si>
    <t>Announcement Status</t>
  </si>
  <si>
    <t>Owner</t>
  </si>
  <si>
    <t>Satisfaction %</t>
  </si>
  <si>
    <t>Next Action</t>
  </si>
  <si>
    <t>Due Date</t>
  </si>
  <si>
    <t>Notes</t>
  </si>
  <si>
    <t>Timing</t>
  </si>
  <si>
    <t>Days to Go</t>
  </si>
  <si>
    <t>Action Flag</t>
  </si>
  <si>
    <t>PD-LW1</t>
  </si>
  <si>
    <t>Launch Webinar</t>
  </si>
  <si>
    <t>Launch Webinar 1: Creativity &amp; Accreditation Plan</t>
  </si>
  <si>
    <t>الويبينار التعريفي الأول: الإبداع وخطة الاعتماد</t>
  </si>
  <si>
    <t>PS Training Unit</t>
  </si>
  <si>
    <t>5:00 PM</t>
  </si>
  <si>
    <t>Teachers + School Leaders</t>
  </si>
  <si>
    <t>Online - Classera Innovation Platform</t>
  </si>
  <si>
    <t>Online</t>
  </si>
  <si>
    <t>https://sh.classera.com/EPD</t>
  </si>
  <si>
    <t>Not started</t>
  </si>
  <si>
    <t>PD-LW2</t>
  </si>
  <si>
    <t>Launch Webinar 2: Enrichment Programs Plan</t>
  </si>
  <si>
    <t>الويبينار التعريفي الثاني: خطة البرامج الإثرائية</t>
  </si>
  <si>
    <t>10:00 AM</t>
  </si>
  <si>
    <t>PD-S01</t>
  </si>
  <si>
    <t>Classera LMS</t>
  </si>
  <si>
    <t>Academic Year Kickoff &amp; Classera LMS Updates: New Features &amp; Release Highlights</t>
  </si>
  <si>
    <t>انطلاقة العام الأكاديمي وتحديثات نظام كلاسيرا: المزايا الجديدة وأبرز الإصدارات</t>
  </si>
  <si>
    <t>Classera</t>
  </si>
  <si>
    <t>All LMS Users</t>
  </si>
  <si>
    <t>https://sh.classera.com/v17unlocked</t>
  </si>
  <si>
    <t>PD-S02</t>
  </si>
  <si>
    <t>Intel SFI</t>
  </si>
  <si>
    <t>Intel Skills for Innovation (SFI) Webinar 1: AI Professional Development</t>
  </si>
  <si>
    <t>Intel Skills for Innovation: التطوير المهني في الذكاء الاصطناعي (1)</t>
  </si>
  <si>
    <t>Intel</t>
  </si>
  <si>
    <t>Teachers</t>
  </si>
  <si>
    <t>English</t>
  </si>
  <si>
    <t>PD-S03</t>
  </si>
  <si>
    <t>EdTech Partner</t>
  </si>
  <si>
    <t>From Explanation to Experiment: Transforming Science Teaching with Virtual Labs</t>
  </si>
  <si>
    <t>من الشرح إلى التجربة: تحويل تدريس العلوم بالمعامل الافتراضية</t>
  </si>
  <si>
    <t>Vlaby</t>
  </si>
  <si>
    <t>Teachers &amp; Supervisors</t>
  </si>
  <si>
    <t>Arabic</t>
  </si>
  <si>
    <t>PD-S04</t>
  </si>
  <si>
    <t>Empower Every Learner</t>
  </si>
  <si>
    <t>تمكين كل متعلم</t>
  </si>
  <si>
    <t>University Startup</t>
  </si>
  <si>
    <t>PD-S05</t>
  </si>
  <si>
    <t>Intel Skills for Innovation (SFI) Webinar 2: AI Professional Development</t>
  </si>
  <si>
    <t>Intel Skills for Innovation: التطوير المهني في الذكاء الاصطناعي (2)</t>
  </si>
  <si>
    <t>PD-S06</t>
  </si>
  <si>
    <t>How do AI-powered solutions measure adaptive-learning outcomes?</t>
  </si>
  <si>
    <t>كيف تقيس الحلول المدعومة بالذكاء الاصطناعي مخرجات التعلم التكيفي؟</t>
  </si>
  <si>
    <t>AILA</t>
  </si>
  <si>
    <t>PD-S07</t>
  </si>
  <si>
    <t>Intel Skills for Innovation (SFI) Webinar 3: AI Professional Development</t>
  </si>
  <si>
    <t>Intel Skills for Innovation: التطوير المهني في الذكاء الاصطناعي (3)</t>
  </si>
  <si>
    <t>PD-S08</t>
  </si>
  <si>
    <t>Classera LMS Updates</t>
  </si>
  <si>
    <t>تحديثات نظام كلاسيرا</t>
  </si>
  <si>
    <t>Classera Product Team</t>
  </si>
  <si>
    <t>PD-S09</t>
  </si>
  <si>
    <t>Technology in Education Webinar Series: Session 4</t>
  </si>
  <si>
    <t>سلسلة تقنيات التعليم: الجلسة الرابعة</t>
  </si>
  <si>
    <t>TBC</t>
  </si>
  <si>
    <t>PD-S10</t>
  </si>
  <si>
    <t>Technology in Education Webinar Series: Session 5</t>
  </si>
  <si>
    <t>سلسلة تقنيات التعليم: الجلسة الخامسة</t>
  </si>
  <si>
    <t>PD-S11</t>
  </si>
  <si>
    <t>Technology in Education Webinar Series: Session 6</t>
  </si>
  <si>
    <t>سلسلة تقنيات التعليم: الجلسة السادسة</t>
  </si>
  <si>
    <t>ACC-01</t>
  </si>
  <si>
    <t>Exam Window</t>
  </si>
  <si>
    <t>Accreditation Exam Window: September 2026 (Period 1)</t>
  </si>
  <si>
    <t>فترة اختبارات الاعتماد: سبتمبر 2026 (الفترة 1)</t>
  </si>
  <si>
    <t>Classera &amp; Intel</t>
  </si>
  <si>
    <t>Educators (Teachers, School Leaders, System Managers)</t>
  </si>
  <si>
    <t>Online - Accreditation Platform</t>
  </si>
  <si>
    <t>https://accreditation.classera.com/</t>
  </si>
  <si>
    <t>ACC-02</t>
  </si>
  <si>
    <t>Accreditation Exam Window: October 2026 (Period 1)</t>
  </si>
  <si>
    <t>فترة اختبارات الاعتماد: أكتوبر 2026 (الفترة 1)</t>
  </si>
  <si>
    <t>ACC-03</t>
  </si>
  <si>
    <t>Accreditation Exam Window: October 2026 (Period 2)</t>
  </si>
  <si>
    <t>فترة اختبارات الاعتماد: أكتوبر 2026 (الفترة 2)</t>
  </si>
  <si>
    <t>ACC-04</t>
  </si>
  <si>
    <t>Accreditation Exam Window: November 2026 (Period 1)</t>
  </si>
  <si>
    <t>فترة اختبارات الاعتماد: نوفمبر 2026 (الفترة 1)</t>
  </si>
  <si>
    <t>ACC-05</t>
  </si>
  <si>
    <t>Accreditation Exam Window: November 2026 (Period 2)</t>
  </si>
  <si>
    <t>فترة اختبارات الاعتماد: نوفمبر 2026 (الفترة 2)</t>
  </si>
  <si>
    <t>ACC-06</t>
  </si>
  <si>
    <t>Accreditation Exam Window: December 2026 (Period 1)</t>
  </si>
  <si>
    <t>فترة اختبارات الاعتماد: ديسمبر 2026 (الفترة 1)</t>
  </si>
  <si>
    <t>ACC-07</t>
  </si>
  <si>
    <t>Accreditation Exam Window: December 2026 (Period 2)</t>
  </si>
  <si>
    <t>فترة اختبارات الاعتماد: ديسمبر 2026 (الفترة 2)</t>
  </si>
  <si>
    <t>ACC-08</t>
  </si>
  <si>
    <t>Accreditation Exam Window: January 2027 (Period 1)</t>
  </si>
  <si>
    <t>فترة اختبارات الاعتماد: يناير 2027 (الفترة 1)</t>
  </si>
  <si>
    <t>ACC-09</t>
  </si>
  <si>
    <t>Accreditation Exam Window: January 2027 (Period 2)</t>
  </si>
  <si>
    <t>فترة اختبارات الاعتماد: يناير 2027 (الفترة 2)</t>
  </si>
  <si>
    <t>ACC-10</t>
  </si>
  <si>
    <t>Accreditation Exam Window: February 2027 (Period 1)</t>
  </si>
  <si>
    <t>فترة اختبارات الاعتماد: فبراير 2027 (الفترة 1)</t>
  </si>
  <si>
    <t>ACC-11</t>
  </si>
  <si>
    <t>Accreditation Exam Window: February 2027 (Period 2)</t>
  </si>
  <si>
    <t>فترة اختبارات الاعتماد: فبراير 2027 (الفترة 2)</t>
  </si>
  <si>
    <t>ACC-12</t>
  </si>
  <si>
    <t>Accreditation Exam Window: March 2027 (Period 1)</t>
  </si>
  <si>
    <t>فترة اختبارات الاعتماد: مارس 2027 (الفترة 1)</t>
  </si>
  <si>
    <t>ACC-13</t>
  </si>
  <si>
    <t>Accreditation Exam Window: March 2027 (Period 2)</t>
  </si>
  <si>
    <t>فترة اختبارات الاعتماد: مارس 2027 (الفترة 2)</t>
  </si>
  <si>
    <t>ACC-14</t>
  </si>
  <si>
    <t>Accreditation Exam Window: April 2027 (Period 1)</t>
  </si>
  <si>
    <t>فترة اختبارات الاعتماد: أبريل 2027 (الفترة 1)</t>
  </si>
  <si>
    <t>ACC-15</t>
  </si>
  <si>
    <t>Accreditation Exam Window: April 2027 (Period 2)</t>
  </si>
  <si>
    <t>فترة اختبارات الاعتماد: أبريل 2027 (الفترة 2)</t>
  </si>
  <si>
    <t>ACC-16</t>
  </si>
  <si>
    <t>Accreditation Exam Window: May 2027 (Period 1)</t>
  </si>
  <si>
    <t>فترة اختبارات الاعتماد: مايو 2027 (الفترة 1)</t>
  </si>
  <si>
    <t>ACC-17</t>
  </si>
  <si>
    <t>Accreditation Exam Window: May 2027 (Period 2)</t>
  </si>
  <si>
    <t>فترة اختبارات الاعتماد: مايو 2027 (الفترة 2)</t>
  </si>
  <si>
    <t>ACC-18</t>
  </si>
  <si>
    <t>Accreditation Exam Window: June 2027 (Period 1)</t>
  </si>
  <si>
    <t>فترة اختبارات الاعتماد: يونيو 2027 (الفترة 1)</t>
  </si>
  <si>
    <t>ACC-19</t>
  </si>
  <si>
    <t>Accreditation Exam Window: June 2027 (Period 2)</t>
  </si>
  <si>
    <t>فترة اختبارات الاعتماد: يونيو 2027 (الفترة 2)</t>
  </si>
  <si>
    <t>ENR-01</t>
  </si>
  <si>
    <t>National &amp; Awareness</t>
  </si>
  <si>
    <t>Saudi National Day Activities</t>
  </si>
  <si>
    <t>فعاليات اليوم الوطني</t>
  </si>
  <si>
    <t>All grades</t>
  </si>
  <si>
    <t>Saudi Arabia</t>
  </si>
  <si>
    <t>Free</t>
  </si>
  <si>
    <t>https://sh.classera.com/NationalDay</t>
  </si>
  <si>
    <t>ENR-02</t>
  </si>
  <si>
    <t>World Teachers' Day</t>
  </si>
  <si>
    <t>يوم المعلم</t>
  </si>
  <si>
    <t>Saudi Arabia, Egypt, Jordan, Other countries</t>
  </si>
  <si>
    <t>https://iacademy.classera.com/lectures-list/?course_title=يوم%20المعلم%2026-27&amp;course_type=1&amp;c=eyJjb3Vyc2VfaWQiOiIxMjc0MzYifQ</t>
  </si>
  <si>
    <t>ENR-03</t>
  </si>
  <si>
    <t>October 6 Victory Celebration</t>
  </si>
  <si>
    <t>فعاليات نصر 6 أكتوبر</t>
  </si>
  <si>
    <t>Egypt</t>
  </si>
  <si>
    <t>https://iacademy.classera.com/lectures-list/?course_title=فاعليات%20%20نصر%20اكتوبر%2026-27&amp;course_type=1&amp;c=eyJjb3Vyc2VfaWQiOiIxMjQwNDMifQ</t>
  </si>
  <si>
    <t>ENR-04</t>
  </si>
  <si>
    <t>Skill Courses</t>
  </si>
  <si>
    <t>Mobile App Programming</t>
  </si>
  <si>
    <t>مهارات برمجة تطبيقات الجوال</t>
  </si>
  <si>
    <t>Middle &amp; Secondary</t>
  </si>
  <si>
    <t>Paid (Secondary)</t>
  </si>
  <si>
    <t>https://iacademy.classera.com/lectures-list/?course_title=مهارات%20برمجة%20تطبيقات%20الجوال%2026-27&amp;course_type=1&amp;c=eyJjb3Vyc2VfaWQiOiIxMjc4MzIifQ</t>
  </si>
  <si>
    <t>ENR-05</t>
  </si>
  <si>
    <t>Digital Art Fundamentals</t>
  </si>
  <si>
    <t>أساسيات الرسم الرقمي</t>
  </si>
  <si>
    <t>ENR-06</t>
  </si>
  <si>
    <t>World Savings Day</t>
  </si>
  <si>
    <t>يوم الادخار العالمي</t>
  </si>
  <si>
    <t>https://iacademy.classera.com/lectures-list/?course_title=27-26%20يوم%20الادخار%20العالمي&amp;course_type=1&amp;c=eyJjb3Vyc2VfaWQiOiIxMjc4MzMifQ</t>
  </si>
  <si>
    <t>ENR-07</t>
  </si>
  <si>
    <t>Programming Fundamentals</t>
  </si>
  <si>
    <t>أساسيات البرمجة</t>
  </si>
  <si>
    <t>Elementary &amp; Middle</t>
  </si>
  <si>
    <t>https://iacademy.classera.com/lectures-list/?course_title=اساسيات%20البرمجة%2026-27&amp;course_type=1&amp;c=eyJjb3Vyc2VfaWQiOiIxMjc4MzQifQ</t>
  </si>
  <si>
    <t>ENR-08</t>
  </si>
  <si>
    <t>Roblox Programming</t>
  </si>
  <si>
    <t>دورة مهارات برمجة الروبلوكس</t>
  </si>
  <si>
    <t>Middle</t>
  </si>
  <si>
    <t>https://iacademy.classera.com/lectures-list/?course_title=26-27دورة%20مهارات%20برمجة%20الروبلوكس&amp;course_type=1&amp;c=eyJjb3Vyc2VfaWQiOiIxMjc4MzUifQ</t>
  </si>
  <si>
    <t>ENR-09</t>
  </si>
  <si>
    <t>Arduino Skills</t>
  </si>
  <si>
    <t>مهارات الأردوينو</t>
  </si>
  <si>
    <t>ENR-10</t>
  </si>
  <si>
    <t>Internet of Things</t>
  </si>
  <si>
    <t>مهارات إنترنت الأشياء</t>
  </si>
  <si>
    <t>https://iacademy.classera.com/lectures-list/?course_title=26-27%20مهارات%20انترنيت%20الاشياء&amp;course_type=1&amp;c=eyJjb3Vyc2VfaWQiOiIxMjc4MzYifQ</t>
  </si>
  <si>
    <t>ENR-11</t>
  </si>
  <si>
    <t>Riyali Financial Literacy Program (Flagship)</t>
  </si>
  <si>
    <t>برنامج ريالي للوعي المالي</t>
  </si>
  <si>
    <t>Sponsored</t>
  </si>
  <si>
    <t>https://iacademy.classera.com/lectures-list/?course_title=26-27%20البرنامج%20ريالي%20للوعي%20المالي&amp;course_type=1&amp;c=eyJjb3Vyc2VfaWQiOiIxMjc4MzcifQ</t>
  </si>
  <si>
    <t>ENR-12</t>
  </si>
  <si>
    <t>Python Programming</t>
  </si>
  <si>
    <t>البرمجة بلغة بايثون</t>
  </si>
  <si>
    <t>Secondary</t>
  </si>
  <si>
    <t>https://iacademy.classera.com/lectures-list/?course_title=البرمجة%20بلغة%20بايثون%20%2026-27&amp;course_type=1&amp;c=eyJjb3Vyc2VfaWQiOiIxMjc4MzgifQ</t>
  </si>
  <si>
    <t>ENR-13</t>
  </si>
  <si>
    <t>Cybersecurity Skills</t>
  </si>
  <si>
    <t>مهارات برمجية: الأمان الإلكتروني</t>
  </si>
  <si>
    <t>https://iacademy.classera.com/lectures-list/?course_title=مهارات%20برمجية%20-%20الأمان%20الالكتروني%2026-27&amp;course_type=1&amp;c=eyJjb3Vyc2VfaWQiOiIxMjc4MzkifQ</t>
  </si>
  <si>
    <t>ENR-14</t>
  </si>
  <si>
    <t>Entrepreneurship</t>
  </si>
  <si>
    <t>ريادة الأعمال</t>
  </si>
  <si>
    <t>ENR-15</t>
  </si>
  <si>
    <t>AI Skills (Flagship)</t>
  </si>
  <si>
    <t>مهارات الذكاء الاصطناعي</t>
  </si>
  <si>
    <t>ENR-16</t>
  </si>
  <si>
    <t>Competitions</t>
  </si>
  <si>
    <t>Challenge Competition: Question 1 (Flagship)</t>
  </si>
  <si>
    <t>مسابقة التحدي: السؤال الأول</t>
  </si>
  <si>
    <t>ENR-17</t>
  </si>
  <si>
    <t>Saudi Founding Day Activities</t>
  </si>
  <si>
    <t>فعاليات يوم التأسيس</t>
  </si>
  <si>
    <t>ENR-18</t>
  </si>
  <si>
    <t>Challenge Competition: Question 2</t>
  </si>
  <si>
    <t>مسابقة التحدي: السؤال الثاني</t>
  </si>
  <si>
    <t>ENR-19</t>
  </si>
  <si>
    <t>Classera Hackathon: Launch (Flagship)</t>
  </si>
  <si>
    <t>انطلاق هاكثون كلاسيرا</t>
  </si>
  <si>
    <t>ENR-20</t>
  </si>
  <si>
    <t>Challenge Competition: Question 3</t>
  </si>
  <si>
    <t>مسابقة التحدي: السؤال الثالث</t>
  </si>
  <si>
    <t>ENR-21</t>
  </si>
  <si>
    <t>Challenge Competition: Question 4</t>
  </si>
  <si>
    <t>مسابقة التحدي: السؤال الرابع</t>
  </si>
  <si>
    <t>ENR-22</t>
  </si>
  <si>
    <t>Challenge Competition: Question 5</t>
  </si>
  <si>
    <t>مسابقة التحدي: السؤال الخامس</t>
  </si>
  <si>
    <t>ENR-23</t>
  </si>
  <si>
    <t>Robot Programming: Beginner</t>
  </si>
  <si>
    <t>برمجة الروبوت: المستوى المبتدئ</t>
  </si>
  <si>
    <t>ENR-24</t>
  </si>
  <si>
    <t>Robot Programming: Advanced</t>
  </si>
  <si>
    <t>مهارات برمجة الروبوت: المستوى المتقدم</t>
  </si>
  <si>
    <t>ENR-25</t>
  </si>
  <si>
    <t>Global Robotics Competition Prep</t>
  </si>
  <si>
    <t>التهيئة لمسابقات الروبوت العالمية</t>
  </si>
  <si>
    <t>ENR-26</t>
  </si>
  <si>
    <t>C++ Programming</t>
  </si>
  <si>
    <t>مهارات برمجية: البرمجة بلغة ++C</t>
  </si>
  <si>
    <t>ENR-27</t>
  </si>
  <si>
    <t>Scratch Programming</t>
  </si>
  <si>
    <t>البرمجة بلغة سكراتش</t>
  </si>
  <si>
    <t>Elementary</t>
  </si>
  <si>
    <t>ENR-28</t>
  </si>
  <si>
    <t>National Challenge: Launch (Flagship)</t>
  </si>
  <si>
    <t>التحدي الوطني: الانطلاق</t>
  </si>
  <si>
    <t>ENR-29</t>
  </si>
  <si>
    <t>Web Design</t>
  </si>
  <si>
    <t>تصميم مواقع الإنترنت</t>
  </si>
  <si>
    <t>ENR-30</t>
  </si>
  <si>
    <t>Classera Hackathon: Final Stage (Flagship)</t>
  </si>
  <si>
    <t>المرحلة النهائية لهاكثون كلاسيرا</t>
  </si>
  <si>
    <t>ENR-31</t>
  </si>
  <si>
    <t>Jordan National Day</t>
  </si>
  <si>
    <t>اليوم الوطني الأردني</t>
  </si>
  <si>
    <t>Jordan</t>
  </si>
  <si>
    <t>ENR-32</t>
  </si>
  <si>
    <t>National Challenge: Results</t>
  </si>
  <si>
    <t>التحدي الوطني: إعلان النتائج</t>
  </si>
  <si>
    <t>PRD-01</t>
  </si>
  <si>
    <t>Services Introduction</t>
  </si>
  <si>
    <t>Services introduction session</t>
  </si>
  <si>
    <t>لقاء تعريفي بالخدمات</t>
  </si>
  <si>
    <t>EduMalls X + C-Inspire</t>
  </si>
  <si>
    <t>Teaching staff</t>
  </si>
  <si>
    <t>PRD-02</t>
  </si>
  <si>
    <t>Offers Campaign</t>
  </si>
  <si>
    <t>Saudi Founding Day offers</t>
  </si>
  <si>
    <t>عروض يوم التأسيس السعودي</t>
  </si>
  <si>
    <t>PRD-03</t>
  </si>
  <si>
    <t>Product Launch</t>
  </si>
  <si>
    <t>C-Smarx launch: resource management for schools</t>
  </si>
  <si>
    <t>إطلاق نظام سي-سمارك إكس لإدارة الموارد</t>
  </si>
  <si>
    <t>C-Smarx</t>
  </si>
  <si>
    <t>Day TBC</t>
  </si>
  <si>
    <t>Administration &amp; finance</t>
  </si>
  <si>
    <t>PRD-04</t>
  </si>
  <si>
    <t>End-of-year offers</t>
  </si>
  <si>
    <t>عروض نهاية العام</t>
  </si>
  <si>
    <t>INP-01</t>
  </si>
  <si>
    <t>Classera Forum</t>
  </si>
  <si>
    <t>Classera Education Forum: Kuwait</t>
  </si>
  <si>
    <t>ملتقى كلاسيرا للتعليم: الكويت</t>
  </si>
  <si>
    <t>Hosted by Classera</t>
  </si>
  <si>
    <t>Clients &amp; partners</t>
  </si>
  <si>
    <t>Kuwait</t>
  </si>
  <si>
    <t>In-person</t>
  </si>
  <si>
    <t>INP-02</t>
  </si>
  <si>
    <t>Classera Education &amp; Training Forum: KSA (existing clients)</t>
  </si>
  <si>
    <t>ملتقى كلاسيرا للتعليم والتدريب: السعودية (العملاء الحاليون)</t>
  </si>
  <si>
    <t>Saudi Arabia (Riyadh, Jeddah, Dammam)</t>
  </si>
  <si>
    <t>INP-03</t>
  </si>
  <si>
    <t>International Conference &amp; Expo</t>
  </si>
  <si>
    <t>Bett UK</t>
  </si>
  <si>
    <t>مؤتمر ومعرض بيت البريطاني Bett UK</t>
  </si>
  <si>
    <t>Classera attending</t>
  </si>
  <si>
    <t>United Kingdom (London)</t>
  </si>
  <si>
    <t>INP-04</t>
  </si>
  <si>
    <t>Seasonal Activities</t>
  </si>
  <si>
    <t>Classera Ramadan activities</t>
  </si>
  <si>
    <t>فعاليات كلاسيرا الرمضانية</t>
  </si>
  <si>
    <t>Across the region</t>
  </si>
  <si>
    <t>INP-05</t>
  </si>
  <si>
    <t>InnoXera</t>
  </si>
  <si>
    <t>InnoXera: Oman</t>
  </si>
  <si>
    <t>إنوكسيرا: عُمان</t>
  </si>
  <si>
    <t>Classera taking part</t>
  </si>
  <si>
    <t>Oman</t>
  </si>
  <si>
    <t>INP-06</t>
  </si>
  <si>
    <t>InnoXera: Bahrain</t>
  </si>
  <si>
    <t>إنوكسيرا: البحرين</t>
  </si>
  <si>
    <t>Bahrain</t>
  </si>
  <si>
    <t>INP-07</t>
  </si>
  <si>
    <t>Classera Education Forum: Egypt</t>
  </si>
  <si>
    <t>ملتقى كلاسيرا للتعليم: مصر</t>
  </si>
  <si>
    <t>INP-08</t>
  </si>
  <si>
    <t>Classera Education Forum: KSA (new clients)</t>
  </si>
  <si>
    <t>ملتقى كلاسيرا للتعليم: السعودية (العملاء الجدد)</t>
  </si>
  <si>
    <t>Saudi Arabia (Jeddah, Dammam)</t>
  </si>
  <si>
    <t>INP-09</t>
  </si>
  <si>
    <t>InnoXera: Saudi Arabia</t>
  </si>
  <si>
    <t>إنوكسيرا: السعودية</t>
  </si>
  <si>
    <t>INP-10</t>
  </si>
  <si>
    <t>HCI + EDGEx</t>
  </si>
  <si>
    <t>مشاركة كلاسيرا في HCI + EDGEx</t>
  </si>
  <si>
    <t>INP-11</t>
  </si>
  <si>
    <t>Education World Forum (EWF): London</t>
  </si>
  <si>
    <t>منتدى التعليم العالمي EWF: لندن</t>
  </si>
  <si>
    <t>INP-12</t>
  </si>
  <si>
    <t>InnoXera: Qatar</t>
  </si>
  <si>
    <t>إنوكسيرا: قطر</t>
  </si>
  <si>
    <t>Qatar</t>
  </si>
  <si>
    <t>Drafted</t>
  </si>
  <si>
    <t>In review</t>
  </si>
  <si>
    <t>Month TBC</t>
  </si>
  <si>
    <t>Hybrid</t>
  </si>
  <si>
    <t>Approved</t>
  </si>
  <si>
    <t>Paid</t>
  </si>
  <si>
    <t>Published</t>
  </si>
  <si>
    <t>From</t>
  </si>
  <si>
    <t>To</t>
  </si>
  <si>
    <t>Off-Period (EN)</t>
  </si>
  <si>
    <t>Off-Period (AR)</t>
  </si>
  <si>
    <t>Country</t>
  </si>
  <si>
    <t>Days</t>
  </si>
  <si>
    <t>KSA National Day</t>
  </si>
  <si>
    <t>اليوم الوطني السعودي</t>
  </si>
  <si>
    <t>KSA Autumn Break</t>
  </si>
  <si>
    <t>إجازة الخريف</t>
  </si>
  <si>
    <t>Egypt exam-prep buffer</t>
  </si>
  <si>
    <t>فترة الاستعداد للامتحانات</t>
  </si>
  <si>
    <t>KSA Mid-year Break</t>
  </si>
  <si>
    <t>إجازة منتصف العام</t>
  </si>
  <si>
    <t>Egypt Term-1 Exams</t>
  </si>
  <si>
    <t>امتحانات الفصل الأول</t>
  </si>
  <si>
    <t>Egypt Mid-year Break</t>
  </si>
  <si>
    <t>KSA Founding Day</t>
  </si>
  <si>
    <t>يوم التأسيس السعودي</t>
  </si>
  <si>
    <t>KSA Eid al-Fitr Break</t>
  </si>
  <si>
    <t>إجازة عيد الفطر</t>
  </si>
  <si>
    <t>KSA Eid al-Adha Break</t>
  </si>
  <si>
    <t>إجازة عيد الأضحى</t>
  </si>
  <si>
    <t>Egypt End-of-Year Exams</t>
  </si>
  <si>
    <t>امتحانات نهاية العام</t>
  </si>
  <si>
    <t>Source: plans.classera.com Full Calendar (KSA and Egypt school calendars). No sessions are scheduled inside these periods.</t>
  </si>
  <si>
    <t>https://sh.classera.com/Enrich</t>
  </si>
  <si>
    <t>Serag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</si>
</sst>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mmm\ yyyy"/>
  </numFmts>
  <fonts count="16" x14ac:knownFonts="1">
    <font>
      <sz val="11"/>
      <color theme="1"/>
      <name val="Calibri"/>
      <family val="2"/>
      <charset val="1"/>
    </font>
    <font>
      <b/>
      <sz val="18"/>
      <color rgb="FF0B2545"/>
      <name val="Arial"/>
      <charset val="1"/>
    </font>
    <font>
      <sz val="10"/>
      <color rgb="FF6B7280"/>
      <name val="Arial"/>
      <charset val="1"/>
    </font>
    <font>
      <b/>
      <sz val="10"/>
      <name val="Arial"/>
      <charset val="1"/>
    </font>
    <font>
      <sz val="10"/>
      <name val="Arial"/>
      <charset val="1"/>
    </font>
    <font>
      <b/>
      <sz val="10"/>
      <color rgb="FFFFFFFF"/>
      <name val="Arial"/>
      <charset val="1"/>
    </font>
    <font>
      <b/>
      <sz val="12"/>
      <color rgb="FF0B2545"/>
      <name val="Arial"/>
      <charset val="1"/>
    </font>
    <font>
      <b/>
      <sz val="14"/>
      <color rgb="FF0B2545"/>
      <name val="Arial"/>
      <charset val="1"/>
    </font>
    <font>
      <b/>
      <sz val="12"/>
      <color rgb="FFB91C1C"/>
      <name val="Arial"/>
      <charset val="1"/>
    </font>
    <font>
      <b/>
      <sz val="16"/>
      <color rgb="FF0B2545"/>
      <name val="Arial"/>
      <charset val="1"/>
    </font>
    <font>
      <b/>
      <sz val="10"/>
      <color rgb="FF0B2545"/>
      <name val="Arial"/>
      <charset val="1"/>
    </font>
    <font>
      <b/>
      <sz val="10"/>
      <color rgb="FF1A1A1A"/>
      <name val="Arial"/>
      <charset val="1"/>
    </font>
    <font>
      <u/>
      <sz val="10"/>
      <color rgb="FF0563C1"/>
      <name val="Arial"/>
      <charset val="1"/>
    </font>
    <font>
      <b/>
      <sz val="11"/>
      <color rgb="FFFFFFFF"/>
      <name val="Arial"/>
      <charset val="1"/>
    </font>
    <font>
      <i/>
      <sz val="9"/>
      <color rgb="FF6B7280"/>
      <name val="Arial"/>
      <charset val="1"/>
    </font>
    <font>
      <u/>
      <sz val="11"/>
      <color theme="10"/>
      <name val="Calibri"/>
      <family val="2"/>
      <charset val="1"/>
    </font>
  </fonts>
  <fills count="9">
    <fill>
      <patternFill patternType="none"/>
    </fill>
    <fill>
      <patternFill patternType="gray125"/>
    </fill>
    <fill>
      <patternFill patternType="solid">
        <fgColor rgb="FF0B2545"/>
        <bgColor rgb="FF1A1A1A"/>
      </patternFill>
    </fill>
    <fill>
      <patternFill patternType="solid">
        <fgColor rgb="FFE8EEF6"/>
        <bgColor rgb="FFE0F2FE"/>
      </patternFill>
    </fill>
    <fill>
      <patternFill patternType="solid">
        <fgColor rgb="FF0096C7"/>
        <bgColor rgb="FF0563C1"/>
      </patternFill>
    </fill>
    <fill>
      <patternFill patternType="solid">
        <fgColor rgb="FF6B7280"/>
        <bgColor rgb="FF808080"/>
      </patternFill>
    </fill>
    <fill>
      <patternFill patternType="solid">
        <fgColor rgb="FFE0A100"/>
        <bgColor rgb="FFFFCC00"/>
      </patternFill>
    </fill>
    <fill>
      <patternFill patternType="solid">
        <fgColor rgb="FFF3F4F6"/>
        <bgColor rgb="FFE8EEF6"/>
      </patternFill>
    </fill>
    <fill>
      <patternFill patternType="solid">
        <fgColor rgb="FFFFF8E1"/>
        <bgColor rgb="FFFFEDD5"/>
      </patternFill>
    </fill>
  </fills>
  <borders count="2">
    <border>
      <left/>
      <right/>
      <top/>
      <bottom/>
      <diagonal/>
    </border>
    <border>
      <left style="thin">
        <color rgb="FFD9DEE7"/>
      </left>
      <right style="thin">
        <color rgb="FFD9DEE7"/>
      </right>
      <top style="thin">
        <color rgb="FFD9DEE7"/>
      </top>
      <bottom style="thin">
        <color rgb="FFD9DEE7"/>
      </bottom>
      <diagonal/>
    </border>
  </borders>
  <cellStyleXfs count="2">
    <xf numFmtId="0" fontId="0" fillId="0" borderId="0"/>
    <xf numFmtId="0" fontId="15" fillId="0" borderId="0" applyNumberFormat="0" applyFill="0" applyBorder="0" applyAlignment="0" applyProtection="0"/>
  </cellStyleXfs>
  <cellXfs count="42">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2" borderId="1" xfId="0" applyFont="1" applyFill="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3" fontId="4" fillId="0" borderId="1" xfId="0" applyNumberFormat="1" applyFont="1" applyBorder="1" applyAlignment="1">
      <alignment horizontal="center"/>
    </xf>
    <xf numFmtId="9" fontId="4" fillId="0" borderId="1" xfId="0" applyNumberFormat="1" applyFont="1" applyBorder="1" applyAlignment="1">
      <alignment horizontal="center"/>
    </xf>
    <xf numFmtId="0" fontId="3" fillId="3" borderId="1" xfId="0" applyFont="1" applyFill="1" applyBorder="1"/>
    <xf numFmtId="0" fontId="3" fillId="3" borderId="1" xfId="0" applyFont="1" applyFill="1" applyBorder="1" applyAlignment="1">
      <alignment horizontal="center"/>
    </xf>
    <xf numFmtId="3" fontId="3" fillId="3" borderId="1" xfId="0" applyNumberFormat="1" applyFont="1" applyFill="1" applyBorder="1" applyAlignment="1">
      <alignment horizontal="center"/>
    </xf>
    <xf numFmtId="9" fontId="3" fillId="3" borderId="1" xfId="0" applyNumberFormat="1" applyFont="1" applyFill="1" applyBorder="1" applyAlignment="1">
      <alignment horizontal="center"/>
    </xf>
    <xf numFmtId="0" fontId="6" fillId="0" borderId="0" xfId="0" applyFont="1"/>
    <xf numFmtId="0" fontId="5" fillId="4" borderId="1" xfId="0" applyFont="1" applyFill="1" applyBorder="1" applyAlignment="1">
      <alignment horizontal="center" wrapText="1"/>
    </xf>
    <xf numFmtId="0" fontId="7" fillId="0" borderId="1" xfId="0" applyFont="1" applyBorder="1" applyAlignment="1">
      <alignment horizontal="center"/>
    </xf>
    <xf numFmtId="0" fontId="8" fillId="0" borderId="0" xfId="0" applyFont="1" applyAlignment="1">
      <alignment horizontal="center"/>
    </xf>
    <xf numFmtId="0" fontId="9" fillId="0" borderId="0" xfId="0" applyFont="1"/>
    <xf numFmtId="0" fontId="10" fillId="0" borderId="0" xfId="0" applyFont="1" applyAlignment="1">
      <alignment vertical="top"/>
    </xf>
    <xf numFmtId="0" fontId="4" fillId="0" borderId="0" xfId="0" applyFont="1" applyAlignment="1">
      <alignment vertical="top" wrapText="1"/>
    </xf>
    <xf numFmtId="0" fontId="5"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right" vertical="center" wrapText="1" readingOrder="2"/>
    </xf>
    <xf numFmtId="164" fontId="4" fillId="0" borderId="1" xfId="0" applyNumberFormat="1" applyFont="1" applyBorder="1" applyAlignment="1">
      <alignment vertical="center"/>
    </xf>
    <xf numFmtId="165" fontId="4" fillId="7" borderId="1" xfId="0" applyNumberFormat="1" applyFont="1" applyFill="1" applyBorder="1" applyAlignment="1">
      <alignment vertical="center"/>
    </xf>
    <xf numFmtId="0" fontId="4" fillId="7" borderId="1" xfId="0" applyFont="1" applyFill="1" applyBorder="1" applyAlignment="1">
      <alignment vertical="center"/>
    </xf>
    <xf numFmtId="0" fontId="12" fillId="8" borderId="1" xfId="0" applyFont="1" applyFill="1" applyBorder="1" applyAlignment="1">
      <alignment vertical="center"/>
    </xf>
    <xf numFmtId="0" fontId="4" fillId="8" borderId="1" xfId="0" applyFont="1" applyFill="1" applyBorder="1" applyAlignment="1">
      <alignment vertical="center"/>
    </xf>
    <xf numFmtId="3" fontId="4" fillId="8" borderId="1" xfId="0" applyNumberFormat="1" applyFont="1" applyFill="1" applyBorder="1" applyAlignment="1">
      <alignment vertical="center"/>
    </xf>
    <xf numFmtId="9" fontId="4" fillId="7" borderId="1" xfId="0" applyNumberFormat="1" applyFont="1" applyFill="1" applyBorder="1" applyAlignment="1">
      <alignment vertical="center"/>
    </xf>
    <xf numFmtId="9" fontId="4" fillId="8" borderId="1" xfId="0" applyNumberFormat="1" applyFont="1" applyFill="1" applyBorder="1" applyAlignment="1">
      <alignment vertical="center"/>
    </xf>
    <xf numFmtId="0" fontId="4" fillId="8" borderId="1" xfId="0" applyFont="1" applyFill="1" applyBorder="1" applyAlignment="1">
      <alignment vertical="center" wrapText="1"/>
    </xf>
    <xf numFmtId="164" fontId="4" fillId="8" borderId="1" xfId="0" applyNumberFormat="1" applyFont="1" applyFill="1" applyBorder="1" applyAlignment="1">
      <alignment vertical="center"/>
    </xf>
    <xf numFmtId="0" fontId="13" fillId="2" borderId="0" xfId="0" applyFont="1" applyFill="1"/>
    <xf numFmtId="0" fontId="4" fillId="0" borderId="0" xfId="0" applyFont="1"/>
    <xf numFmtId="164" fontId="4" fillId="0" borderId="1" xfId="0" applyNumberFormat="1" applyFont="1" applyBorder="1"/>
    <xf numFmtId="0" fontId="4" fillId="0" borderId="1" xfId="0" applyFont="1" applyBorder="1" applyAlignment="1">
      <alignment horizontal="right"/>
    </xf>
    <xf numFmtId="0" fontId="14" fillId="0" borderId="0" xfId="0" applyFont="1"/>
    <xf numFmtId="0" fontId="15" fillId="8" borderId="1" xfId="1" applyFill="1" applyBorder="1" applyAlignment="1">
      <alignment vertical="center"/>
    </xf>
  </cellXfs>
  <cellStyles count="2">
    <cellStyle name="Hyperlink" xfId="1" builtinId="8"/>
    <cellStyle name="Normal" xfId="0" builtinId="0"/>
  </cellStyles>
  <dxfs count="14">
    <dxf>
      <font>
        <b/>
        <color rgb="FF7C2D12"/>
        <name val="Arial"/>
        <charset val="1"/>
      </font>
      <fill>
        <patternFill>
          <bgColor rgb="FFFEF9C3"/>
        </patternFill>
      </fill>
    </dxf>
    <dxf>
      <font>
        <b/>
        <color rgb="FF7C2D12"/>
        <name val="Arial"/>
        <charset val="1"/>
      </font>
      <fill>
        <patternFill>
          <bgColor rgb="FFFFEDD5"/>
        </patternFill>
      </fill>
    </dxf>
    <dxf>
      <font>
        <b/>
        <color rgb="FF7C2D12"/>
        <name val="Arial"/>
        <charset val="1"/>
      </font>
      <fill>
        <patternFill>
          <bgColor rgb="FFFEE2E2"/>
        </patternFill>
      </fill>
    </dxf>
    <dxf>
      <font>
        <b/>
        <color rgb="FF6B7280"/>
        <name val="Arial"/>
        <charset val="1"/>
      </font>
      <fill>
        <patternFill>
          <bgColor rgb="FFE5E7EB"/>
        </patternFill>
      </fill>
    </dxf>
    <dxf>
      <font>
        <b/>
        <color rgb="FF1A1A1A"/>
        <name val="Arial"/>
        <charset val="1"/>
      </font>
      <fill>
        <patternFill>
          <bgColor rgb="FFBFDBFE"/>
        </patternFill>
      </fill>
    </dxf>
    <dxf>
      <font>
        <b/>
        <color rgb="FF1A1A1A"/>
        <name val="Arial"/>
        <charset val="1"/>
      </font>
      <fill>
        <patternFill>
          <bgColor rgb="FFFDE68A"/>
        </patternFill>
      </fill>
    </dxf>
    <dxf>
      <font>
        <b/>
        <color rgb="FF1A1A1A"/>
        <name val="Arial"/>
        <charset val="1"/>
      </font>
      <fill>
        <patternFill>
          <bgColor rgb="FFD1FAE5"/>
        </patternFill>
      </fill>
    </dxf>
    <dxf>
      <font>
        <b/>
        <color rgb="FF065F46"/>
        <name val="Arial"/>
        <charset val="1"/>
      </font>
      <fill>
        <patternFill>
          <bgColor rgb="FFD1FAE5"/>
        </patternFill>
      </fill>
    </dxf>
    <dxf>
      <font>
        <b/>
        <color rgb="FF991B1B"/>
        <name val="Arial"/>
        <charset val="1"/>
      </font>
      <fill>
        <patternFill>
          <bgColor rgb="FFFEE2E2"/>
        </patternFill>
      </fill>
    </dxf>
    <dxf>
      <font>
        <b/>
        <color rgb="FF1A1A1A"/>
        <name val="Arial"/>
        <charset val="1"/>
      </font>
      <fill>
        <patternFill>
          <bgColor rgb="FFFEE2E2"/>
        </patternFill>
      </fill>
    </dxf>
    <dxf>
      <font>
        <b/>
        <color rgb="FF1A1A1A"/>
        <name val="Arial"/>
        <charset val="1"/>
      </font>
      <fill>
        <patternFill>
          <bgColor rgb="FFFEF3C7"/>
        </patternFill>
      </fill>
    </dxf>
    <dxf>
      <font>
        <b/>
        <color rgb="FF1A1A1A"/>
        <name val="Arial"/>
        <charset val="1"/>
      </font>
      <fill>
        <patternFill>
          <bgColor rgb="FFE0F2FE"/>
        </patternFill>
      </fill>
    </dxf>
    <dxf>
      <font>
        <b/>
        <color rgb="FF1A1A1A"/>
        <name val="Arial"/>
        <charset val="1"/>
      </font>
      <fill>
        <patternFill>
          <bgColor rgb="FFDBEAFE"/>
        </patternFill>
      </fill>
    </dxf>
    <dxf>
      <font>
        <b/>
        <color rgb="FF1A1A1A"/>
        <name val="Arial"/>
        <charset val="1"/>
      </font>
      <fill>
        <patternFill>
          <bgColor rgb="FFD1FAE5"/>
        </patternFill>
      </fill>
    </dxf>
  </dxfs>
  <tableStyles count="0" defaultTableStyle="TableStyleMedium2" defaultPivotStyle="PivotStyleLight16"/>
  <colors>
    <indexedColors>
      <rgbColor rgb="FF000000"/>
      <rgbColor rgb="FFFFFFFF"/>
      <rgbColor rgb="FFFF0000"/>
      <rgbColor rgb="FF00FF00"/>
      <rgbColor rgb="FF0000FF"/>
      <rgbColor rgb="FFFFEDD5"/>
      <rgbColor rgb="FFFF00FF"/>
      <rgbColor rgb="FF00FFFF"/>
      <rgbColor rgb="FF991B1B"/>
      <rgbColor rgb="FF008000"/>
      <rgbColor rgb="FF000080"/>
      <rgbColor rgb="FF808000"/>
      <rgbColor rgb="FF800080"/>
      <rgbColor rgb="FF0096C7"/>
      <rgbColor rgb="FFD9DEE7"/>
      <rgbColor rgb="FF808080"/>
      <rgbColor rgb="FFF3F4F6"/>
      <rgbColor rgb="FFB91C1C"/>
      <rgbColor rgb="FFFEF9C3"/>
      <rgbColor rgb="FFE0F2FE"/>
      <rgbColor rgb="FF660066"/>
      <rgbColor rgb="FFFF8080"/>
      <rgbColor rgb="FF0563C1"/>
      <rgbColor rgb="FFBFDBFE"/>
      <rgbColor rgb="FF000080"/>
      <rgbColor rgb="FFFF00FF"/>
      <rgbColor rgb="FFFFF8E1"/>
      <rgbColor rgb="FF00FFFF"/>
      <rgbColor rgb="FF800080"/>
      <rgbColor rgb="FF800000"/>
      <rgbColor rgb="FF065F46"/>
      <rgbColor rgb="FF0000FF"/>
      <rgbColor rgb="FF00CCFF"/>
      <rgbColor rgb="FFDBEAFE"/>
      <rgbColor rgb="FFD1FAE5"/>
      <rgbColor rgb="FFFEF3C7"/>
      <rgbColor rgb="FFE5E7EB"/>
      <rgbColor rgb="FFFEE2E2"/>
      <rgbColor rgb="FFE8EEF6"/>
      <rgbColor rgb="FFFDE68A"/>
      <rgbColor rgb="FF3366FF"/>
      <rgbColor rgb="FF33CCCC"/>
      <rgbColor rgb="FF99CC00"/>
      <rgbColor rgb="FFFFCC00"/>
      <rgbColor rgb="FFE0A100"/>
      <rgbColor rgb="FFFF6600"/>
      <rgbColor rgb="FF6B7280"/>
      <rgbColor rgb="FF969696"/>
      <rgbColor rgb="FF0B2545"/>
      <rgbColor rgb="FF339966"/>
      <rgbColor rgb="FF003300"/>
      <rgbColor rgb="FF333300"/>
      <rgbColor rgb="FF7C2D12"/>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Events" displayName="tblEvents" ref="A1:AG81" totalsRowShown="0">
  <autoFilter ref="A1:AG81" xr:uid="{00000000-0009-0000-0100-000001000000}"/>
  <tableColumns count="33">
    <tableColumn id="1" xr3:uid="{00000000-0010-0000-0000-000001000000}" name="Event ID"/>
    <tableColumn id="2" xr3:uid="{00000000-0010-0000-0000-000002000000}" name="Program"/>
    <tableColumn id="3" xr3:uid="{00000000-0010-0000-0000-000003000000}" name="Track"/>
    <tableColumn id="4" xr3:uid="{00000000-0010-0000-0000-000004000000}" name="Event Title (EN)"/>
    <tableColumn id="5" xr3:uid="{00000000-0010-0000-0000-000005000000}" name="Event Title (AR)"/>
    <tableColumn id="6" xr3:uid="{00000000-0010-0000-0000-000006000000}" name="Partner / Host"/>
    <tableColumn id="7" xr3:uid="{00000000-0010-0000-0000-000007000000}" name="Start Date"/>
    <tableColumn id="8" xr3:uid="{00000000-0010-0000-0000-000008000000}" name="End Date"/>
    <tableColumn id="9" xr3:uid="{00000000-0010-0000-0000-000009000000}" name="Date Status"/>
    <tableColumn id="10" xr3:uid="{00000000-0010-0000-0000-00000A000000}" name="Month"/>
    <tableColumn id="11" xr3:uid="{00000000-0010-0000-0000-00000B000000}" name="Semester"/>
    <tableColumn id="12" xr3:uid="{00000000-0010-0000-0000-00000C000000}" name="Day"/>
    <tableColumn id="13" xr3:uid="{00000000-0010-0000-0000-00000D000000}" name="Time (KSA)"/>
    <tableColumn id="14" xr3:uid="{00000000-0010-0000-0000-00000E000000}" name="Audience"/>
    <tableColumn id="15" xr3:uid="{00000000-0010-0000-0000-00000F000000}" name="Language"/>
    <tableColumn id="16" xr3:uid="{00000000-0010-0000-0000-000010000000}" name="Country / Location"/>
    <tableColumn id="17" xr3:uid="{00000000-0010-0000-0000-000011000000}" name="Delivery Mode"/>
    <tableColumn id="18" xr3:uid="{00000000-0010-0000-0000-000012000000}" name="Pricing"/>
    <tableColumn id="19" xr3:uid="{00000000-0010-0000-0000-000013000000}" name="Registration Link"/>
    <tableColumn id="20" xr3:uid="{00000000-0010-0000-0000-000014000000}" name="Link Status"/>
    <tableColumn id="21" xr3:uid="{00000000-0010-0000-0000-000015000000}" name="Event Status"/>
    <tableColumn id="22" xr3:uid="{00000000-0010-0000-0000-000016000000}" name="Announcement Status"/>
    <tableColumn id="23" xr3:uid="{00000000-0010-0000-0000-000017000000}" name="Owner"/>
    <tableColumn id="24" xr3:uid="{00000000-0010-0000-0000-000018000000}" name="Registrations"/>
    <tableColumn id="25" xr3:uid="{00000000-0010-0000-0000-000019000000}" name="Attendees"/>
    <tableColumn id="26" xr3:uid="{00000000-0010-0000-0000-00001A000000}" name="Attendance Rate"/>
    <tableColumn id="27" xr3:uid="{00000000-0010-0000-0000-00001B000000}" name="Satisfaction %"/>
    <tableColumn id="28" xr3:uid="{00000000-0010-0000-0000-00001C000000}" name="Next Action"/>
    <tableColumn id="29" xr3:uid="{00000000-0010-0000-0000-00001D000000}" name="Due Date"/>
    <tableColumn id="30" xr3:uid="{00000000-0010-0000-0000-00001E000000}" name="Notes"/>
    <tableColumn id="31" xr3:uid="{00000000-0010-0000-0000-00001F000000}" name="Timing"/>
    <tableColumn id="32" xr3:uid="{00000000-0010-0000-0000-000020000000}" name="Days to Go"/>
    <tableColumn id="33" xr3:uid="{00000000-0010-0000-0000-000021000000}" name="Action Fla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accreditation.classera.com/" TargetMode="External"/><Relationship Id="rId18" Type="http://schemas.openxmlformats.org/officeDocument/2006/relationships/hyperlink" Target="https://accreditation.classera.com/" TargetMode="External"/><Relationship Id="rId26" Type="http://schemas.openxmlformats.org/officeDocument/2006/relationships/hyperlink" Target="https://iacademy.classera.com/lectures-list/?course_title=27-26%20&#1610;&#1608;&#1605;%20&#1575;&#1604;&#1575;&#1583;&#1582;&#1575;&#1585;%20&#1575;&#1604;&#1593;&#1575;&#1604;&#1605;&#1610;&amp;course_type=1&amp;c=eyJjb3Vyc2VfaWQiOiIxMjc4MzMifQ" TargetMode="External"/><Relationship Id="rId3" Type="http://schemas.openxmlformats.org/officeDocument/2006/relationships/hyperlink" Target="https://accreditation.classera.com/" TargetMode="External"/><Relationship Id="rId21" Type="http://schemas.openxmlformats.org/officeDocument/2006/relationships/hyperlink" Target="https://accreditation.classera.com/" TargetMode="External"/><Relationship Id="rId34" Type="http://schemas.openxmlformats.org/officeDocument/2006/relationships/table" Target="../tables/table1.xml"/><Relationship Id="rId7" Type="http://schemas.openxmlformats.org/officeDocument/2006/relationships/hyperlink" Target="https://accreditation.classera.com/" TargetMode="External"/><Relationship Id="rId12" Type="http://schemas.openxmlformats.org/officeDocument/2006/relationships/hyperlink" Target="https://accreditation.classera.com/" TargetMode="External"/><Relationship Id="rId17" Type="http://schemas.openxmlformats.org/officeDocument/2006/relationships/hyperlink" Target="https://accreditation.classera.com/" TargetMode="External"/><Relationship Id="rId25" Type="http://schemas.openxmlformats.org/officeDocument/2006/relationships/hyperlink" Target="https://iacademy.classera.com/lectures-list/?course_title=&#1605;&#1607;&#1575;&#1585;&#1575;&#1578;%20&#1576;&#1585;&#1605;&#1580;&#1577;%20&#1578;&#1591;&#1576;&#1610;&#1602;&#1575;&#1578;%20&#1575;&#1604;&#1580;&#1608;&#1575;&#1604;%2026-27&amp;course_type=1&amp;c=eyJjb3Vyc2VfaWQiOiIxMjc4MzIifQ" TargetMode="External"/><Relationship Id="rId33" Type="http://schemas.openxmlformats.org/officeDocument/2006/relationships/hyperlink" Target="https://sh.classera.com/Enrich" TargetMode="External"/><Relationship Id="rId2" Type="http://schemas.openxmlformats.org/officeDocument/2006/relationships/hyperlink" Target="https://sh.classera.com/v17unlocked" TargetMode="External"/><Relationship Id="rId16" Type="http://schemas.openxmlformats.org/officeDocument/2006/relationships/hyperlink" Target="https://accreditation.classera.com/" TargetMode="External"/><Relationship Id="rId20" Type="http://schemas.openxmlformats.org/officeDocument/2006/relationships/hyperlink" Target="https://accreditation.classera.com/" TargetMode="External"/><Relationship Id="rId29" Type="http://schemas.openxmlformats.org/officeDocument/2006/relationships/hyperlink" Target="https://iacademy.classera.com/lectures-list/?course_title=26-27%20&#1605;&#1607;&#1575;&#1585;&#1575;&#1578;%20&#1575;&#1606;&#1578;&#1585;&#1606;&#1610;&#1578;%20&#1575;&#1604;&#1575;&#1588;&#1610;&#1575;&#1569;&amp;course_type=1&amp;c=eyJjb3Vyc2VfaWQiOiIxMjc4MzYifQ" TargetMode="External"/><Relationship Id="rId1" Type="http://schemas.openxmlformats.org/officeDocument/2006/relationships/hyperlink" Target="https://sh.classera.com/EPD" TargetMode="External"/><Relationship Id="rId6" Type="http://schemas.openxmlformats.org/officeDocument/2006/relationships/hyperlink" Target="https://accreditation.classera.com/" TargetMode="External"/><Relationship Id="rId11" Type="http://schemas.openxmlformats.org/officeDocument/2006/relationships/hyperlink" Target="https://accreditation.classera.com/" TargetMode="External"/><Relationship Id="rId24" Type="http://schemas.openxmlformats.org/officeDocument/2006/relationships/hyperlink" Target="https://iacademy.classera.com/lectures-list/?course_title=&#1601;&#1575;&#1593;&#1604;&#1610;&#1575;&#1578;%20%20&#1606;&#1589;&#1585;%20&#1575;&#1603;&#1578;&#1608;&#1576;&#1585;%2026-27&amp;course_type=1&amp;c=eyJjb3Vyc2VfaWQiOiIxMjQwNDMifQ" TargetMode="External"/><Relationship Id="rId32" Type="http://schemas.openxmlformats.org/officeDocument/2006/relationships/hyperlink" Target="https://iacademy.classera.com/lectures-list/?course_title=&#1605;&#1607;&#1575;&#1585;&#1575;&#1578;%20&#1576;&#1585;&#1605;&#1580;&#1610;&#1577;%20-%20&#1575;&#1604;&#1571;&#1605;&#1575;&#1606;%20&#1575;&#1604;&#1575;&#1604;&#1603;&#1578;&#1585;&#1608;&#1606;&#1610;%2026-27&amp;course_type=1&amp;c=eyJjb3Vyc2VfaWQiOiIxMjc4MzkifQ" TargetMode="External"/><Relationship Id="rId5" Type="http://schemas.openxmlformats.org/officeDocument/2006/relationships/hyperlink" Target="https://accreditation.classera.com/" TargetMode="External"/><Relationship Id="rId15" Type="http://schemas.openxmlformats.org/officeDocument/2006/relationships/hyperlink" Target="https://accreditation.classera.com/" TargetMode="External"/><Relationship Id="rId23" Type="http://schemas.openxmlformats.org/officeDocument/2006/relationships/hyperlink" Target="https://iacademy.classera.com/lectures-list/?course_title=&#1610;&#1608;&#1605;%20&#1575;&#1604;&#1605;&#1593;&#1604;&#1605;%2026-27&amp;course_type=1&amp;c=eyJjb3Vyc2VfaWQiOiIxMjc0MzYifQ" TargetMode="External"/><Relationship Id="rId28" Type="http://schemas.openxmlformats.org/officeDocument/2006/relationships/hyperlink" Target="https://iacademy.classera.com/lectures-list/?course_title=26-27&#1583;&#1608;&#1585;&#1577;%20&#1605;&#1607;&#1575;&#1585;&#1575;&#1578;%20&#1576;&#1585;&#1605;&#1580;&#1577;%20&#1575;&#1604;&#1585;&#1608;&#1576;&#1604;&#1608;&#1603;&#1587;&amp;course_type=1&amp;c=eyJjb3Vyc2VfaWQiOiIxMjc4MzUifQ" TargetMode="External"/><Relationship Id="rId10" Type="http://schemas.openxmlformats.org/officeDocument/2006/relationships/hyperlink" Target="https://accreditation.classera.com/" TargetMode="External"/><Relationship Id="rId19" Type="http://schemas.openxmlformats.org/officeDocument/2006/relationships/hyperlink" Target="https://accreditation.classera.com/" TargetMode="External"/><Relationship Id="rId31" Type="http://schemas.openxmlformats.org/officeDocument/2006/relationships/hyperlink" Target="https://iacademy.classera.com/lectures-list/?course_title=&#1575;&#1604;&#1576;&#1585;&#1605;&#1580;&#1577;%20&#1576;&#1604;&#1594;&#1577;%20&#1576;&#1575;&#1610;&#1579;&#1608;&#1606;%20%2026-27&amp;course_type=1&amp;c=eyJjb3Vyc2VfaWQiOiIxMjc4MzgifQ" TargetMode="External"/><Relationship Id="rId4" Type="http://schemas.openxmlformats.org/officeDocument/2006/relationships/hyperlink" Target="https://accreditation.classera.com/" TargetMode="External"/><Relationship Id="rId9" Type="http://schemas.openxmlformats.org/officeDocument/2006/relationships/hyperlink" Target="https://accreditation.classera.com/" TargetMode="External"/><Relationship Id="rId14" Type="http://schemas.openxmlformats.org/officeDocument/2006/relationships/hyperlink" Target="https://accreditation.classera.com/" TargetMode="External"/><Relationship Id="rId22" Type="http://schemas.openxmlformats.org/officeDocument/2006/relationships/hyperlink" Target="https://sh.classera.com/NationalDay" TargetMode="External"/><Relationship Id="rId27" Type="http://schemas.openxmlformats.org/officeDocument/2006/relationships/hyperlink" Target="https://iacademy.classera.com/lectures-list/?course_title=&#1575;&#1587;&#1575;&#1587;&#1610;&#1575;&#1578;%20&#1575;&#1604;&#1576;&#1585;&#1605;&#1580;&#1577;%2026-27&amp;course_type=1&amp;c=eyJjb3Vyc2VfaWQiOiIxMjc4MzQifQ" TargetMode="External"/><Relationship Id="rId30" Type="http://schemas.openxmlformats.org/officeDocument/2006/relationships/hyperlink" Target="https://iacademy.classera.com/lectures-list/?course_title=26-27%20&#1575;&#1604;&#1576;&#1585;&#1606;&#1575;&#1605;&#1580;%20&#1585;&#1610;&#1575;&#1604;&#1610;%20&#1604;&#1604;&#1608;&#1593;&#1610;%20&#1575;&#1604;&#1605;&#1575;&#1604;&#1610;&amp;course_type=1&amp;c=eyJjb3Vyc2VfaWQiOiIxMjc4MzcifQ" TargetMode="External"/><Relationship Id="rId8" Type="http://schemas.openxmlformats.org/officeDocument/2006/relationships/hyperlink" Target="https://accreditation.classer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2"/>
  <sheetViews>
    <sheetView showGridLines="0" zoomScaleNormal="100" workbookViewId="0"/>
  </sheetViews>
  <sheetFormatPr defaultColWidth="8.7109375" defaultRowHeight="15" x14ac:dyDescent="0.25"/>
  <cols>
    <col min="1" max="1" width="3" customWidth="1"/>
    <col min="2" max="2" width="28" customWidth="1"/>
    <col min="3" max="14" width="14" customWidth="1"/>
  </cols>
  <sheetData>
    <row r="2" spans="2:14" ht="23.25" x14ac:dyDescent="0.35">
      <c r="B2" s="1" t="s">
        <v>0</v>
      </c>
    </row>
    <row r="3" spans="2:14" x14ac:dyDescent="0.25">
      <c r="B3" s="2" t="s">
        <v>1</v>
      </c>
    </row>
    <row r="4" spans="2:14" x14ac:dyDescent="0.25">
      <c r="B4" s="3" t="s">
        <v>2</v>
      </c>
      <c r="C4" s="4">
        <f ca="1">TODAY()</f>
        <v>46296</v>
      </c>
    </row>
    <row r="6" spans="2:14" ht="31.5" customHeight="1" x14ac:dyDescent="0.25">
      <c r="B6" s="5" t="s">
        <v>3</v>
      </c>
      <c r="C6" s="5" t="s">
        <v>4</v>
      </c>
      <c r="D6" s="5" t="s">
        <v>5</v>
      </c>
      <c r="E6" s="5" t="s">
        <v>6</v>
      </c>
      <c r="F6" s="5" t="s">
        <v>7</v>
      </c>
      <c r="G6" s="5" t="s">
        <v>8</v>
      </c>
      <c r="H6" s="5" t="s">
        <v>9</v>
      </c>
      <c r="I6" s="5" t="s">
        <v>10</v>
      </c>
      <c r="J6" s="5" t="s">
        <v>11</v>
      </c>
      <c r="K6" s="5" t="s">
        <v>12</v>
      </c>
      <c r="L6" s="5" t="s">
        <v>13</v>
      </c>
      <c r="M6" s="5" t="s">
        <v>14</v>
      </c>
      <c r="N6" s="5" t="s">
        <v>15</v>
      </c>
    </row>
    <row r="7" spans="2:14" x14ac:dyDescent="0.25">
      <c r="B7" s="6" t="s">
        <v>16</v>
      </c>
      <c r="C7" s="7">
        <f>COUNTIFS(Events!$B$2:$B$400,$B7)</f>
        <v>13</v>
      </c>
      <c r="D7" s="7">
        <f ca="1">COUNTIFS(Events!$B$2:$B$400,$B7,Events!$AE$2:$AE$400,"&lt;&gt;Past",Events!$A$2:$A$400,"&lt;&gt;")</f>
        <v>10</v>
      </c>
      <c r="E7" s="7">
        <f ca="1">COUNTIFS(Events!$B$2:$B$400,$B7,Events!$AE$2:$AE$400,"Next 14 days")</f>
        <v>1</v>
      </c>
      <c r="F7" s="7">
        <f>COUNTIFS(Events!$B$2:$B$400,$B7,Events!$I$2:$I$400,"&lt;&gt;Confirmed",Events!$A$2:$A$400,"&lt;&gt;")</f>
        <v>0</v>
      </c>
      <c r="G7" s="7">
        <f>COUNTIFS(Events!$B$2:$B$400,$B7,Events!$T$2:$T$400,"Published")</f>
        <v>3</v>
      </c>
      <c r="H7" s="7">
        <f>COUNTIFS(Events!$B$2:$B$400,$B7,Events!$T$2:$T$400,"Missing",Events!$A$2:$A$400,"&lt;&gt;")</f>
        <v>10</v>
      </c>
      <c r="I7" s="7">
        <f>COUNTIFS(Events!$B$2:$B$400,$B7,Events!$U$2:$U$400,"Delivered")</f>
        <v>3</v>
      </c>
      <c r="J7" s="8">
        <f>SUMIFS(Events!$X$2:$X$400,Events!$B$2:$B$400,$B7)</f>
        <v>0</v>
      </c>
      <c r="K7" s="8">
        <f>SUMIFS(Events!$Y$2:$Y$400,Events!$B$2:$B$400,$B7)</f>
        <v>0</v>
      </c>
      <c r="L7" s="9" t="str">
        <f t="shared" ref="L7:L12" si="0">IF(J7&gt;0,K7/J7,"-")</f>
        <v>-</v>
      </c>
      <c r="M7" s="9" t="str">
        <f>IFERROR(AVERAGEIFS(Events!$AA$2:$AA$400,Events!$AA$2:$AA$400,"&gt;0",Events!$B$2:$B$400,$B7),"-")</f>
        <v>-</v>
      </c>
      <c r="N7" s="7">
        <f ca="1">COUNTIFS(Events!$B$2:$B$400,$B7,Events!$AG$2:$AG$400,"?*")</f>
        <v>1</v>
      </c>
    </row>
    <row r="8" spans="2:14" x14ac:dyDescent="0.25">
      <c r="B8" s="6" t="s">
        <v>17</v>
      </c>
      <c r="C8" s="7">
        <f>COUNTIFS(Events!$B$2:$B$400,$B8)</f>
        <v>19</v>
      </c>
      <c r="D8" s="7">
        <f ca="1">COUNTIFS(Events!$B$2:$B$400,$B8,Events!$AE$2:$AE$400,"&lt;&gt;Past",Events!$A$2:$A$400,"&lt;&gt;")</f>
        <v>18</v>
      </c>
      <c r="E8" s="7">
        <f ca="1">COUNTIFS(Events!$B$2:$B$400,$B8,Events!$AE$2:$AE$400,"Next 14 days")</f>
        <v>1</v>
      </c>
      <c r="F8" s="7">
        <f>COUNTIFS(Events!$B$2:$B$400,$B8,Events!$I$2:$I$400,"&lt;&gt;Confirmed",Events!$A$2:$A$400,"&lt;&gt;")</f>
        <v>0</v>
      </c>
      <c r="G8" s="7">
        <f>COUNTIFS(Events!$B$2:$B$400,$B8,Events!$T$2:$T$400,"Published")</f>
        <v>19</v>
      </c>
      <c r="H8" s="7">
        <f>COUNTIFS(Events!$B$2:$B$400,$B8,Events!$T$2:$T$400,"Missing",Events!$A$2:$A$400,"&lt;&gt;")</f>
        <v>0</v>
      </c>
      <c r="I8" s="7">
        <f>COUNTIFS(Events!$B$2:$B$400,$B8,Events!$U$2:$U$400,"Delivered")</f>
        <v>0</v>
      </c>
      <c r="J8" s="8">
        <f>SUMIFS(Events!$X$2:$X$400,Events!$B$2:$B$400,$B8)</f>
        <v>0</v>
      </c>
      <c r="K8" s="8">
        <f>SUMIFS(Events!$Y$2:$Y$400,Events!$B$2:$B$400,$B8)</f>
        <v>0</v>
      </c>
      <c r="L8" s="9" t="str">
        <f t="shared" si="0"/>
        <v>-</v>
      </c>
      <c r="M8" s="9" t="str">
        <f>IFERROR(AVERAGEIFS(Events!$AA$2:$AA$400,Events!$AA$2:$AA$400,"&gt;0",Events!$B$2:$B$400,$B8),"-")</f>
        <v>-</v>
      </c>
      <c r="N8" s="7">
        <f ca="1">COUNTIFS(Events!$B$2:$B$400,$B8,Events!$AG$2:$AG$400,"?*")</f>
        <v>2</v>
      </c>
    </row>
    <row r="9" spans="2:14" x14ac:dyDescent="0.25">
      <c r="B9" s="6" t="s">
        <v>18</v>
      </c>
      <c r="C9" s="7">
        <f>COUNTIFS(Events!$B$2:$B$400,$B9)</f>
        <v>32</v>
      </c>
      <c r="D9" s="7">
        <f ca="1">COUNTIFS(Events!$B$2:$B$400,$B9,Events!$AE$2:$AE$400,"&lt;&gt;Past",Events!$A$2:$A$400,"&lt;&gt;")</f>
        <v>31</v>
      </c>
      <c r="E9" s="7">
        <f ca="1">COUNTIFS(Events!$B$2:$B$400,$B9,Events!$AE$2:$AE$400,"Next 14 days")</f>
        <v>3</v>
      </c>
      <c r="F9" s="7">
        <f>COUNTIFS(Events!$B$2:$B$400,$B9,Events!$I$2:$I$400,"&lt;&gt;Confirmed",Events!$A$2:$A$400,"&lt;&gt;")</f>
        <v>0</v>
      </c>
      <c r="G9" s="7">
        <f>COUNTIFS(Events!$B$2:$B$400,$B9,Events!$T$2:$T$400,"Published")</f>
        <v>11</v>
      </c>
      <c r="H9" s="7">
        <f>COUNTIFS(Events!$B$2:$B$400,$B9,Events!$T$2:$T$400,"Missing",Events!$A$2:$A$400,"&lt;&gt;")</f>
        <v>21</v>
      </c>
      <c r="I9" s="7">
        <f>COUNTIFS(Events!$B$2:$B$400,$B9,Events!$U$2:$U$400,"Delivered")</f>
        <v>0</v>
      </c>
      <c r="J9" s="8">
        <f>SUMIFS(Events!$X$2:$X$400,Events!$B$2:$B$400,$B9)</f>
        <v>0</v>
      </c>
      <c r="K9" s="8">
        <f>SUMIFS(Events!$Y$2:$Y$400,Events!$B$2:$B$400,$B9)</f>
        <v>0</v>
      </c>
      <c r="L9" s="9" t="str">
        <f t="shared" si="0"/>
        <v>-</v>
      </c>
      <c r="M9" s="9" t="str">
        <f>IFERROR(AVERAGEIFS(Events!$AA$2:$AA$400,Events!$AA$2:$AA$400,"&gt;0",Events!$B$2:$B$400,$B9),"-")</f>
        <v>-</v>
      </c>
      <c r="N9" s="7">
        <f ca="1">COUNTIFS(Events!$B$2:$B$400,$B9,Events!$AG$2:$AG$400,"?*")</f>
        <v>4</v>
      </c>
    </row>
    <row r="10" spans="2:14" x14ac:dyDescent="0.25">
      <c r="B10" s="6" t="s">
        <v>19</v>
      </c>
      <c r="C10" s="7">
        <f>COUNTIFS(Events!$B$2:$B$400,$B10)</f>
        <v>4</v>
      </c>
      <c r="D10" s="7">
        <f ca="1">COUNTIFS(Events!$B$2:$B$400,$B10,Events!$AE$2:$AE$400,"&lt;&gt;Past",Events!$A$2:$A$400,"&lt;&gt;")</f>
        <v>4</v>
      </c>
      <c r="E10" s="7">
        <f ca="1">COUNTIFS(Events!$B$2:$B$400,$B10,Events!$AE$2:$AE$400,"Next 14 days")</f>
        <v>0</v>
      </c>
      <c r="F10" s="7">
        <f>COUNTIFS(Events!$B$2:$B$400,$B10,Events!$I$2:$I$400,"&lt;&gt;Confirmed",Events!$A$2:$A$400,"&lt;&gt;")</f>
        <v>1</v>
      </c>
      <c r="G10" s="7">
        <f>COUNTIFS(Events!$B$2:$B$400,$B10,Events!$T$2:$T$400,"Published")</f>
        <v>0</v>
      </c>
      <c r="H10" s="7">
        <f>COUNTIFS(Events!$B$2:$B$400,$B10,Events!$T$2:$T$400,"Missing",Events!$A$2:$A$400,"&lt;&gt;")</f>
        <v>4</v>
      </c>
      <c r="I10" s="7">
        <f>COUNTIFS(Events!$B$2:$B$400,$B10,Events!$U$2:$U$400,"Delivered")</f>
        <v>0</v>
      </c>
      <c r="J10" s="8">
        <f>SUMIFS(Events!$X$2:$X$400,Events!$B$2:$B$400,$B10)</f>
        <v>0</v>
      </c>
      <c r="K10" s="8">
        <f>SUMIFS(Events!$Y$2:$Y$400,Events!$B$2:$B$400,$B10)</f>
        <v>0</v>
      </c>
      <c r="L10" s="9" t="str">
        <f t="shared" si="0"/>
        <v>-</v>
      </c>
      <c r="M10" s="9" t="str">
        <f>IFERROR(AVERAGEIFS(Events!$AA$2:$AA$400,Events!$AA$2:$AA$400,"&gt;0",Events!$B$2:$B$400,$B10),"-")</f>
        <v>-</v>
      </c>
      <c r="N10" s="7">
        <f ca="1">COUNTIFS(Events!$B$2:$B$400,$B10,Events!$AG$2:$AG$400,"?*")</f>
        <v>0</v>
      </c>
    </row>
    <row r="11" spans="2:14" x14ac:dyDescent="0.25">
      <c r="B11" s="6" t="s">
        <v>20</v>
      </c>
      <c r="C11" s="7">
        <f>COUNTIFS(Events!$B$2:$B$400,$B11)</f>
        <v>12</v>
      </c>
      <c r="D11" s="7">
        <f ca="1">COUNTIFS(Events!$B$2:$B$400,$B11,Events!$AE$2:$AE$400,"&lt;&gt;Past",Events!$A$2:$A$400,"&lt;&gt;")</f>
        <v>12</v>
      </c>
      <c r="E11" s="7">
        <f ca="1">COUNTIFS(Events!$B$2:$B$400,$B11,Events!$AE$2:$AE$400,"Next 14 days")</f>
        <v>0</v>
      </c>
      <c r="F11" s="7">
        <f>COUNTIFS(Events!$B$2:$B$400,$B11,Events!$I$2:$I$400,"&lt;&gt;Confirmed",Events!$A$2:$A$400,"&lt;&gt;")</f>
        <v>11</v>
      </c>
      <c r="G11" s="7">
        <f>COUNTIFS(Events!$B$2:$B$400,$B11,Events!$T$2:$T$400,"Published")</f>
        <v>0</v>
      </c>
      <c r="H11" s="7">
        <f>COUNTIFS(Events!$B$2:$B$400,$B11,Events!$T$2:$T$400,"Missing",Events!$A$2:$A$400,"&lt;&gt;")</f>
        <v>12</v>
      </c>
      <c r="I11" s="7">
        <f>COUNTIFS(Events!$B$2:$B$400,$B11,Events!$U$2:$U$400,"Delivered")</f>
        <v>0</v>
      </c>
      <c r="J11" s="8">
        <f>SUMIFS(Events!$X$2:$X$400,Events!$B$2:$B$400,$B11)</f>
        <v>0</v>
      </c>
      <c r="K11" s="8">
        <f>SUMIFS(Events!$Y$2:$Y$400,Events!$B$2:$B$400,$B11)</f>
        <v>0</v>
      </c>
      <c r="L11" s="9" t="str">
        <f t="shared" si="0"/>
        <v>-</v>
      </c>
      <c r="M11" s="9" t="str">
        <f>IFERROR(AVERAGEIFS(Events!$AA$2:$AA$400,Events!$AA$2:$AA$400,"&gt;0",Events!$B$2:$B$400,$B11),"-")</f>
        <v>-</v>
      </c>
      <c r="N11" s="7">
        <f ca="1">COUNTIFS(Events!$B$2:$B$400,$B11,Events!$AG$2:$AG$400,"?*")</f>
        <v>0</v>
      </c>
    </row>
    <row r="12" spans="2:14" x14ac:dyDescent="0.25">
      <c r="B12" s="10" t="s">
        <v>21</v>
      </c>
      <c r="C12" s="11">
        <f>COUNTA(Events!$A$2:$A$400)</f>
        <v>80</v>
      </c>
      <c r="D12" s="11">
        <f ca="1">COUNTIFS(Events!$A$2:$A$400,"&lt;&gt;",Events!$AE$2:$AE$400,"&lt;&gt;Past",Events!$A$2:$A$400,"&lt;&gt;")</f>
        <v>75</v>
      </c>
      <c r="E12" s="11">
        <f ca="1">COUNTIFS(Events!$A$2:$A$400,"&lt;&gt;",Events!$AE$2:$AE$400,"Next 14 days")</f>
        <v>5</v>
      </c>
      <c r="F12" s="11">
        <f>COUNTIFS(Events!$A$2:$A$400,"&lt;&gt;",Events!$I$2:$I$400,"&lt;&gt;Confirmed",Events!$A$2:$A$400,"&lt;&gt;")</f>
        <v>12</v>
      </c>
      <c r="G12" s="11">
        <f>COUNTIFS(Events!$A$2:$A$400,"&lt;&gt;",Events!$T$2:$T$400,"Published")</f>
        <v>33</v>
      </c>
      <c r="H12" s="11">
        <f>COUNTIFS(Events!$A$2:$A$400,"&lt;&gt;",Events!$T$2:$T$400,"Missing",Events!$A$2:$A$400,"&lt;&gt;")</f>
        <v>47</v>
      </c>
      <c r="I12" s="11">
        <f>COUNTIFS(Events!$A$2:$A$400,"&lt;&gt;",Events!$U$2:$U$400,"Delivered")</f>
        <v>3</v>
      </c>
      <c r="J12" s="12">
        <f>SUM(Events!$X$2:$X$400)</f>
        <v>0</v>
      </c>
      <c r="K12" s="12">
        <f>SUM(Events!$Y$2:$Y$400)</f>
        <v>0</v>
      </c>
      <c r="L12" s="13" t="str">
        <f t="shared" si="0"/>
        <v>-</v>
      </c>
      <c r="M12" s="13" t="str">
        <f>IFERROR(AVERAGEIFS(Events!$AA$2:$AA$400,Events!$AA$2:$AA$400,"&gt;0"),"-")</f>
        <v>-</v>
      </c>
      <c r="N12" s="11">
        <f ca="1">COUNTIFS(Events!$A$2:$A$400,"&lt;&gt;",Events!$AG$2:$AG$400,"?*")</f>
        <v>7</v>
      </c>
    </row>
    <row r="14" spans="2:14" ht="15.75" x14ac:dyDescent="0.25">
      <c r="B14" s="14" t="s">
        <v>22</v>
      </c>
    </row>
    <row r="15" spans="2:14" ht="26.25" x14ac:dyDescent="0.25">
      <c r="C15" s="15" t="s">
        <v>23</v>
      </c>
      <c r="D15" s="15" t="s">
        <v>24</v>
      </c>
      <c r="E15" s="15" t="s">
        <v>25</v>
      </c>
      <c r="F15" s="15" t="s">
        <v>10</v>
      </c>
      <c r="G15" s="15" t="s">
        <v>26</v>
      </c>
      <c r="H15" s="15" t="s">
        <v>27</v>
      </c>
    </row>
    <row r="16" spans="2:14" ht="18" x14ac:dyDescent="0.25">
      <c r="B16" s="3" t="s">
        <v>4</v>
      </c>
      <c r="C16" s="16">
        <f>COUNTIFS(Events!$U$2:$U$400,C$15)</f>
        <v>37</v>
      </c>
      <c r="D16" s="16">
        <f>COUNTIFS(Events!$U$2:$U$400,D$15)</f>
        <v>10</v>
      </c>
      <c r="E16" s="16">
        <f>COUNTIFS(Events!$U$2:$U$400,E$15)</f>
        <v>30</v>
      </c>
      <c r="F16" s="16">
        <f>COUNTIFS(Events!$U$2:$U$400,F$15)</f>
        <v>3</v>
      </c>
      <c r="G16" s="16">
        <f>COUNTIFS(Events!$U$2:$U$400,G$15)</f>
        <v>0</v>
      </c>
      <c r="H16" s="16">
        <f>COUNTIFS(Events!$U$2:$U$400,H$15)</f>
        <v>0</v>
      </c>
    </row>
    <row r="19" spans="2:4" ht="15.75" x14ac:dyDescent="0.25">
      <c r="B19" s="14" t="s">
        <v>28</v>
      </c>
    </row>
    <row r="20" spans="2:4" ht="15.75" x14ac:dyDescent="0.25">
      <c r="B20" s="3" t="s">
        <v>29</v>
      </c>
      <c r="C20" s="17">
        <f ca="1">COUNTIFS(Events!$AG$2:$AG$400,B20)</f>
        <v>2</v>
      </c>
      <c r="D20" s="2" t="s">
        <v>30</v>
      </c>
    </row>
    <row r="21" spans="2:4" ht="15.75" x14ac:dyDescent="0.25">
      <c r="B21" s="3" t="s">
        <v>31</v>
      </c>
      <c r="C21" s="17">
        <f ca="1">COUNTIFS(Events!$AG$2:$AG$400,B21)</f>
        <v>1</v>
      </c>
      <c r="D21" s="2" t="s">
        <v>32</v>
      </c>
    </row>
    <row r="22" spans="2:4" ht="15.75" x14ac:dyDescent="0.25">
      <c r="B22" s="3" t="s">
        <v>33</v>
      </c>
      <c r="C22" s="17">
        <f ca="1">COUNTIFS(Events!$AG$2:$AG$400,B22)</f>
        <v>4</v>
      </c>
      <c r="D22" s="2"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3"/>
  <sheetViews>
    <sheetView showGridLines="0" zoomScaleNormal="100" workbookViewId="0"/>
  </sheetViews>
  <sheetFormatPr defaultColWidth="8.7109375" defaultRowHeight="15" x14ac:dyDescent="0.25"/>
  <cols>
    <col min="1" max="1" width="3" customWidth="1"/>
    <col min="2" max="2" width="26" customWidth="1"/>
    <col min="3" max="3" width="90" customWidth="1"/>
  </cols>
  <sheetData>
    <row r="2" spans="2:3" ht="20.25" x14ac:dyDescent="0.3">
      <c r="B2" s="18" t="s">
        <v>35</v>
      </c>
    </row>
    <row r="4" spans="2:3" ht="30" customHeight="1" x14ac:dyDescent="0.25">
      <c r="B4" s="19" t="s">
        <v>36</v>
      </c>
      <c r="C4" s="20" t="s">
        <v>37</v>
      </c>
    </row>
    <row r="5" spans="2:3" ht="30" customHeight="1" x14ac:dyDescent="0.25">
      <c r="B5" s="19" t="s">
        <v>38</v>
      </c>
      <c r="C5" s="20" t="s">
        <v>39</v>
      </c>
    </row>
    <row r="6" spans="2:3" ht="30" customHeight="1" x14ac:dyDescent="0.25">
      <c r="B6" s="19" t="s">
        <v>40</v>
      </c>
      <c r="C6" s="20" t="s">
        <v>41</v>
      </c>
    </row>
    <row r="7" spans="2:3" ht="30" customHeight="1" x14ac:dyDescent="0.25">
      <c r="B7" s="19" t="s">
        <v>42</v>
      </c>
      <c r="C7" s="20" t="s">
        <v>43</v>
      </c>
    </row>
    <row r="8" spans="2:3" ht="30" customHeight="1" x14ac:dyDescent="0.25">
      <c r="B8" s="19" t="s">
        <v>44</v>
      </c>
      <c r="C8" s="20" t="s">
        <v>45</v>
      </c>
    </row>
    <row r="9" spans="2:3" ht="30" customHeight="1" x14ac:dyDescent="0.25">
      <c r="B9" s="19" t="s">
        <v>46</v>
      </c>
      <c r="C9" s="20" t="s">
        <v>47</v>
      </c>
    </row>
    <row r="10" spans="2:3" ht="30" customHeight="1" x14ac:dyDescent="0.25">
      <c r="B10" s="19" t="s">
        <v>48</v>
      </c>
      <c r="C10" s="20" t="s">
        <v>49</v>
      </c>
    </row>
    <row r="11" spans="2:3" ht="30" customHeight="1" x14ac:dyDescent="0.25">
      <c r="B11" s="19" t="s">
        <v>50</v>
      </c>
      <c r="C11" s="20" t="s">
        <v>51</v>
      </c>
    </row>
    <row r="12" spans="2:3" ht="30" customHeight="1" x14ac:dyDescent="0.25">
      <c r="B12" s="19" t="s">
        <v>52</v>
      </c>
      <c r="C12" s="20" t="s">
        <v>53</v>
      </c>
    </row>
    <row r="13" spans="2:3" ht="30" customHeight="1" x14ac:dyDescent="0.25">
      <c r="B13" s="19" t="s">
        <v>54</v>
      </c>
      <c r="C13" s="20" t="s">
        <v>55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81"/>
  <sheetViews>
    <sheetView tabSelected="1" zoomScaleNormal="100" workbookViewId="0">
      <pane xSplit="4" ySplit="1" topLeftCell="AC2" activePane="bottomRight" state="frozen"/>
      <selection pane="topRight" activeCell="E1" sqref="E1"/>
      <selection pane="bottomLeft" activeCell="A2" sqref="A2"/>
      <selection pane="bottomRight" activeCell="AI2" sqref="AI2"/>
    </sheetView>
  </sheetViews>
  <sheetFormatPr defaultColWidth="8.7109375" defaultRowHeight="15" x14ac:dyDescent="0.25"/>
  <cols>
    <col min="1" max="1" width="10" customWidth="1"/>
    <col min="2" max="3" width="22" customWidth="1"/>
    <col min="4" max="4" width="48" customWidth="1"/>
    <col min="5" max="5" width="44" customWidth="1"/>
    <col min="6" max="6" width="22" customWidth="1"/>
    <col min="7" max="9" width="12" customWidth="1"/>
    <col min="10" max="10" width="10" customWidth="1"/>
    <col min="11" max="11" width="11" customWidth="1"/>
    <col min="12" max="12" width="7" customWidth="1"/>
    <col min="13" max="13" width="10" customWidth="1"/>
    <col min="14" max="14" width="26" customWidth="1"/>
    <col min="15" max="15" width="10" customWidth="1"/>
    <col min="16" max="16" width="28" customWidth="1"/>
    <col min="17" max="17" width="11" customWidth="1"/>
    <col min="18" max="18" width="15" customWidth="1"/>
    <col min="19" max="19" width="34" customWidth="1"/>
    <col min="20" max="20" width="11" customWidth="1"/>
    <col min="21" max="23" width="16" customWidth="1"/>
    <col min="24" max="24" width="13" customWidth="1"/>
    <col min="25" max="25" width="11" customWidth="1"/>
    <col min="26" max="26" width="12" customWidth="1"/>
    <col min="27" max="27" width="13" customWidth="1"/>
    <col min="28" max="28" width="30" customWidth="1"/>
    <col min="29" max="29" width="12" customWidth="1"/>
    <col min="30" max="30" width="34" customWidth="1"/>
    <col min="31" max="31" width="13" customWidth="1"/>
    <col min="32" max="32" width="10" customWidth="1"/>
    <col min="33" max="33" width="16" customWidth="1"/>
  </cols>
  <sheetData>
    <row r="1" spans="1:33" ht="33.75" customHeight="1" x14ac:dyDescent="0.25">
      <c r="A1" s="5" t="s">
        <v>56</v>
      </c>
      <c r="B1" s="5" t="s">
        <v>3</v>
      </c>
      <c r="C1" s="5" t="s">
        <v>57</v>
      </c>
      <c r="D1" s="5" t="s">
        <v>58</v>
      </c>
      <c r="E1" s="5" t="s">
        <v>59</v>
      </c>
      <c r="F1" s="5" t="s">
        <v>60</v>
      </c>
      <c r="G1" s="5" t="s">
        <v>61</v>
      </c>
      <c r="H1" s="5" t="s">
        <v>62</v>
      </c>
      <c r="I1" s="5" t="s">
        <v>44</v>
      </c>
      <c r="J1" s="21" t="s">
        <v>63</v>
      </c>
      <c r="K1" s="21" t="s">
        <v>64</v>
      </c>
      <c r="L1" s="21" t="s">
        <v>65</v>
      </c>
      <c r="M1" s="5" t="s">
        <v>66</v>
      </c>
      <c r="N1" s="5" t="s">
        <v>67</v>
      </c>
      <c r="O1" s="5" t="s">
        <v>68</v>
      </c>
      <c r="P1" s="5" t="s">
        <v>69</v>
      </c>
      <c r="Q1" s="5" t="s">
        <v>70</v>
      </c>
      <c r="R1" s="5" t="s">
        <v>71</v>
      </c>
      <c r="S1" s="22" t="s">
        <v>46</v>
      </c>
      <c r="T1" s="21" t="s">
        <v>72</v>
      </c>
      <c r="U1" s="22" t="s">
        <v>42</v>
      </c>
      <c r="V1" s="22" t="s">
        <v>73</v>
      </c>
      <c r="W1" s="22" t="s">
        <v>74</v>
      </c>
      <c r="X1" s="22" t="s">
        <v>11</v>
      </c>
      <c r="Y1" s="22" t="s">
        <v>12</v>
      </c>
      <c r="Z1" s="21" t="s">
        <v>13</v>
      </c>
      <c r="AA1" s="22" t="s">
        <v>75</v>
      </c>
      <c r="AB1" s="22" t="s">
        <v>76</v>
      </c>
      <c r="AC1" s="22" t="s">
        <v>77</v>
      </c>
      <c r="AD1" s="22" t="s">
        <v>78</v>
      </c>
      <c r="AE1" s="21" t="s">
        <v>79</v>
      </c>
      <c r="AF1" s="21" t="s">
        <v>80</v>
      </c>
      <c r="AG1" s="21" t="s">
        <v>81</v>
      </c>
    </row>
    <row r="2" spans="1:33" x14ac:dyDescent="0.25">
      <c r="A2" s="23" t="s">
        <v>82</v>
      </c>
      <c r="B2" s="23" t="s">
        <v>16</v>
      </c>
      <c r="C2" s="23" t="s">
        <v>83</v>
      </c>
      <c r="D2" s="24" t="s">
        <v>84</v>
      </c>
      <c r="E2" s="25" t="s">
        <v>85</v>
      </c>
      <c r="F2" s="23" t="s">
        <v>86</v>
      </c>
      <c r="G2" s="26">
        <v>46293</v>
      </c>
      <c r="H2" s="26">
        <v>46293</v>
      </c>
      <c r="I2" s="23" t="s">
        <v>24</v>
      </c>
      <c r="J2" s="27">
        <f t="shared" ref="J2:J33" si="0">IF(G2="","",DATE(YEAR(G2),MONTH(G2),1))</f>
        <v>46266</v>
      </c>
      <c r="K2" s="28" t="str">
        <f t="shared" ref="K2:K33" si="1">IF(G2="","",IF(G2&lt;DATE(2027,2,1),"Semester 1","Semester 2"))</f>
        <v>Semester 1</v>
      </c>
      <c r="L2" s="28" t="str">
        <f t="shared" ref="L2:L33" si="2">IF(I2="Confirmed",TEXT(G2,"ddd"),"TBC")</f>
        <v>Mon</v>
      </c>
      <c r="M2" s="23" t="s">
        <v>87</v>
      </c>
      <c r="N2" s="24" t="s">
        <v>88</v>
      </c>
      <c r="O2" s="23"/>
      <c r="P2" s="23" t="s">
        <v>89</v>
      </c>
      <c r="Q2" s="23" t="s">
        <v>90</v>
      </c>
      <c r="R2" s="23"/>
      <c r="S2" s="29" t="s">
        <v>91</v>
      </c>
      <c r="T2" s="28" t="str">
        <f t="shared" ref="T2:T33" si="3">IF(TRIM(S2)="","Missing","Published")</f>
        <v>Published</v>
      </c>
      <c r="U2" s="30" t="s">
        <v>10</v>
      </c>
      <c r="V2" s="30" t="s">
        <v>410</v>
      </c>
      <c r="W2" s="30" t="s">
        <v>438</v>
      </c>
      <c r="X2" s="31"/>
      <c r="Y2" s="31"/>
      <c r="Z2" s="32" t="str">
        <f t="shared" ref="Z2:Z33" si="4">IF(N(X2)&gt;0,N(Y2)/X2,"")</f>
        <v/>
      </c>
      <c r="AA2" s="33"/>
      <c r="AB2" s="34"/>
      <c r="AC2" s="35"/>
      <c r="AD2" s="34"/>
      <c r="AE2" s="28" t="str">
        <f t="shared" ref="AE2:AE33" ca="1" si="5">IF(G2="","",IF(H2&lt;TODAY(),"Past",IF(G2&lt;=TODAY(),"In progress",IF(G2-TODAY()&lt;=14,"Next 14 days",IF(G2-TODAY()&lt;=45,"Next 45 days","Later")))))</f>
        <v>Past</v>
      </c>
      <c r="AF2" s="28" t="str">
        <f t="shared" ref="AF2:AF33" ca="1" si="6">IF(G2="","",IF(H2&lt;TODAY(),"",G2-TODAY()))</f>
        <v/>
      </c>
      <c r="AG2" s="28" t="str">
        <f t="shared" ref="AG2:AG33" ca="1" si="7">IF(AND(AE2="Past",U2&lt;&gt;"Delivered",U2&lt;&gt;"Cancelled",U2&lt;&gt;"Postponed"),"Update status",IF(AND(T2="Missing",OR(AE2="In progress",AE2="Next 14 days")),"Add link",IF(AND(AE2="Next 14 days",V2&lt;&gt;"Published"),"Announce","")))</f>
        <v/>
      </c>
    </row>
    <row r="3" spans="1:33" x14ac:dyDescent="0.25">
      <c r="A3" s="23" t="s">
        <v>93</v>
      </c>
      <c r="B3" s="23" t="s">
        <v>16</v>
      </c>
      <c r="C3" s="23" t="s">
        <v>83</v>
      </c>
      <c r="D3" s="24" t="s">
        <v>94</v>
      </c>
      <c r="E3" s="25" t="s">
        <v>95</v>
      </c>
      <c r="F3" s="23" t="s">
        <v>86</v>
      </c>
      <c r="G3" s="26">
        <v>46294</v>
      </c>
      <c r="H3" s="26">
        <v>46294</v>
      </c>
      <c r="I3" s="23" t="s">
        <v>24</v>
      </c>
      <c r="J3" s="27">
        <f t="shared" si="0"/>
        <v>46266</v>
      </c>
      <c r="K3" s="28" t="str">
        <f t="shared" si="1"/>
        <v>Semester 1</v>
      </c>
      <c r="L3" s="28" t="str">
        <f t="shared" si="2"/>
        <v>Tue</v>
      </c>
      <c r="M3" s="23" t="s">
        <v>96</v>
      </c>
      <c r="N3" s="24" t="s">
        <v>88</v>
      </c>
      <c r="O3" s="23"/>
      <c r="P3" s="23" t="s">
        <v>89</v>
      </c>
      <c r="Q3" s="23" t="s">
        <v>90</v>
      </c>
      <c r="R3" s="23"/>
      <c r="S3" s="41" t="s">
        <v>437</v>
      </c>
      <c r="T3" s="28" t="str">
        <f t="shared" si="3"/>
        <v>Published</v>
      </c>
      <c r="U3" s="30" t="s">
        <v>10</v>
      </c>
      <c r="V3" s="30" t="s">
        <v>410</v>
      </c>
      <c r="W3" s="30" t="s">
        <v>438</v>
      </c>
      <c r="X3" s="31"/>
      <c r="Y3" s="31"/>
      <c r="Z3" s="32" t="str">
        <f t="shared" si="4"/>
        <v/>
      </c>
      <c r="AA3" s="33"/>
      <c r="AB3" s="34"/>
      <c r="AC3" s="35"/>
      <c r="AD3" s="34"/>
      <c r="AE3" s="28" t="str">
        <f t="shared" ca="1" si="5"/>
        <v>Past</v>
      </c>
      <c r="AF3" s="28" t="str">
        <f t="shared" ca="1" si="6"/>
        <v/>
      </c>
      <c r="AG3" s="28" t="str">
        <f t="shared" ca="1" si="7"/>
        <v/>
      </c>
    </row>
    <row r="4" spans="1:33" ht="25.5" x14ac:dyDescent="0.25">
      <c r="A4" s="23" t="s">
        <v>97</v>
      </c>
      <c r="B4" s="23" t="s">
        <v>16</v>
      </c>
      <c r="C4" s="23" t="s">
        <v>98</v>
      </c>
      <c r="D4" s="24" t="s">
        <v>99</v>
      </c>
      <c r="E4" s="25" t="s">
        <v>100</v>
      </c>
      <c r="F4" s="23" t="s">
        <v>101</v>
      </c>
      <c r="G4" s="26">
        <v>46295</v>
      </c>
      <c r="H4" s="26">
        <v>46295</v>
      </c>
      <c r="I4" s="23" t="s">
        <v>24</v>
      </c>
      <c r="J4" s="27">
        <f t="shared" si="0"/>
        <v>46266</v>
      </c>
      <c r="K4" s="28" t="str">
        <f t="shared" si="1"/>
        <v>Semester 1</v>
      </c>
      <c r="L4" s="28" t="str">
        <f t="shared" si="2"/>
        <v>Wed</v>
      </c>
      <c r="M4" s="23" t="s">
        <v>87</v>
      </c>
      <c r="N4" s="24" t="s">
        <v>102</v>
      </c>
      <c r="O4" s="23"/>
      <c r="P4" s="23" t="s">
        <v>89</v>
      </c>
      <c r="Q4" s="23" t="s">
        <v>90</v>
      </c>
      <c r="R4" s="23"/>
      <c r="S4" s="29" t="s">
        <v>103</v>
      </c>
      <c r="T4" s="28" t="str">
        <f t="shared" si="3"/>
        <v>Published</v>
      </c>
      <c r="U4" s="30" t="s">
        <v>10</v>
      </c>
      <c r="V4" s="30" t="s">
        <v>410</v>
      </c>
      <c r="W4" s="30" t="s">
        <v>438</v>
      </c>
      <c r="X4" s="31"/>
      <c r="Y4" s="31"/>
      <c r="Z4" s="32" t="str">
        <f t="shared" si="4"/>
        <v/>
      </c>
      <c r="AA4" s="33"/>
      <c r="AB4" s="34"/>
      <c r="AC4" s="35"/>
      <c r="AD4" s="34"/>
      <c r="AE4" s="28" t="str">
        <f t="shared" ca="1" si="5"/>
        <v>Past</v>
      </c>
      <c r="AF4" s="28" t="str">
        <f t="shared" ca="1" si="6"/>
        <v/>
      </c>
      <c r="AG4" s="28" t="str">
        <f t="shared" ca="1" si="7"/>
        <v/>
      </c>
    </row>
    <row r="5" spans="1:33" ht="25.5" x14ac:dyDescent="0.25">
      <c r="A5" s="23" t="s">
        <v>104</v>
      </c>
      <c r="B5" s="23" t="s">
        <v>16</v>
      </c>
      <c r="C5" s="23" t="s">
        <v>105</v>
      </c>
      <c r="D5" s="24" t="s">
        <v>106</v>
      </c>
      <c r="E5" s="25" t="s">
        <v>107</v>
      </c>
      <c r="F5" s="23" t="s">
        <v>108</v>
      </c>
      <c r="G5" s="26">
        <v>46309</v>
      </c>
      <c r="H5" s="26">
        <v>46309</v>
      </c>
      <c r="I5" s="23" t="s">
        <v>24</v>
      </c>
      <c r="J5" s="27">
        <f t="shared" si="0"/>
        <v>46296</v>
      </c>
      <c r="K5" s="28" t="str">
        <f t="shared" si="1"/>
        <v>Semester 1</v>
      </c>
      <c r="L5" s="28" t="str">
        <f t="shared" si="2"/>
        <v>Wed</v>
      </c>
      <c r="M5" s="23" t="s">
        <v>87</v>
      </c>
      <c r="N5" s="24" t="s">
        <v>109</v>
      </c>
      <c r="O5" s="23" t="s">
        <v>110</v>
      </c>
      <c r="P5" s="23" t="s">
        <v>89</v>
      </c>
      <c r="Q5" s="23" t="s">
        <v>90</v>
      </c>
      <c r="R5" s="23"/>
      <c r="S5" s="30"/>
      <c r="T5" s="28" t="str">
        <f t="shared" si="3"/>
        <v>Missing</v>
      </c>
      <c r="U5" s="30" t="s">
        <v>24</v>
      </c>
      <c r="V5" s="30" t="s">
        <v>92</v>
      </c>
      <c r="W5" s="30"/>
      <c r="X5" s="31"/>
      <c r="Y5" s="31"/>
      <c r="Z5" s="32" t="str">
        <f t="shared" si="4"/>
        <v/>
      </c>
      <c r="AA5" s="33"/>
      <c r="AB5" s="34"/>
      <c r="AC5" s="35"/>
      <c r="AD5" s="34"/>
      <c r="AE5" s="28" t="str">
        <f t="shared" ca="1" si="5"/>
        <v>Next 14 days</v>
      </c>
      <c r="AF5" s="28">
        <f t="shared" ca="1" si="6"/>
        <v>13</v>
      </c>
      <c r="AG5" s="28" t="str">
        <f t="shared" ca="1" si="7"/>
        <v>Add link</v>
      </c>
    </row>
    <row r="6" spans="1:33" ht="25.5" x14ac:dyDescent="0.25">
      <c r="A6" s="23" t="s">
        <v>111</v>
      </c>
      <c r="B6" s="23" t="s">
        <v>16</v>
      </c>
      <c r="C6" s="23" t="s">
        <v>112</v>
      </c>
      <c r="D6" s="24" t="s">
        <v>113</v>
      </c>
      <c r="E6" s="25" t="s">
        <v>114</v>
      </c>
      <c r="F6" s="23" t="s">
        <v>115</v>
      </c>
      <c r="G6" s="26">
        <v>46323</v>
      </c>
      <c r="H6" s="26">
        <v>46323</v>
      </c>
      <c r="I6" s="23" t="s">
        <v>24</v>
      </c>
      <c r="J6" s="27">
        <f t="shared" si="0"/>
        <v>46296</v>
      </c>
      <c r="K6" s="28" t="str">
        <f t="shared" si="1"/>
        <v>Semester 1</v>
      </c>
      <c r="L6" s="28" t="str">
        <f t="shared" si="2"/>
        <v>Wed</v>
      </c>
      <c r="M6" s="23" t="s">
        <v>87</v>
      </c>
      <c r="N6" s="24" t="s">
        <v>116</v>
      </c>
      <c r="O6" s="23" t="s">
        <v>117</v>
      </c>
      <c r="P6" s="23" t="s">
        <v>89</v>
      </c>
      <c r="Q6" s="23" t="s">
        <v>90</v>
      </c>
      <c r="R6" s="23"/>
      <c r="S6" s="30"/>
      <c r="T6" s="28" t="str">
        <f t="shared" si="3"/>
        <v>Missing</v>
      </c>
      <c r="U6" s="30" t="s">
        <v>24</v>
      </c>
      <c r="V6" s="30" t="s">
        <v>92</v>
      </c>
      <c r="W6" s="30"/>
      <c r="X6" s="31"/>
      <c r="Y6" s="31"/>
      <c r="Z6" s="32" t="str">
        <f t="shared" si="4"/>
        <v/>
      </c>
      <c r="AA6" s="33"/>
      <c r="AB6" s="34"/>
      <c r="AC6" s="35"/>
      <c r="AD6" s="34"/>
      <c r="AE6" s="28" t="str">
        <f t="shared" ca="1" si="5"/>
        <v>Next 45 days</v>
      </c>
      <c r="AF6" s="28">
        <f t="shared" ca="1" si="6"/>
        <v>27</v>
      </c>
      <c r="AG6" s="28" t="str">
        <f t="shared" ca="1" si="7"/>
        <v/>
      </c>
    </row>
    <row r="7" spans="1:33" x14ac:dyDescent="0.25">
      <c r="A7" s="23" t="s">
        <v>118</v>
      </c>
      <c r="B7" s="23" t="s">
        <v>16</v>
      </c>
      <c r="C7" s="23" t="s">
        <v>112</v>
      </c>
      <c r="D7" s="24" t="s">
        <v>119</v>
      </c>
      <c r="E7" s="25" t="s">
        <v>120</v>
      </c>
      <c r="F7" s="23" t="s">
        <v>121</v>
      </c>
      <c r="G7" s="26">
        <v>46337</v>
      </c>
      <c r="H7" s="26">
        <v>46337</v>
      </c>
      <c r="I7" s="23" t="s">
        <v>24</v>
      </c>
      <c r="J7" s="27">
        <f t="shared" si="0"/>
        <v>46327</v>
      </c>
      <c r="K7" s="28" t="str">
        <f t="shared" si="1"/>
        <v>Semester 1</v>
      </c>
      <c r="L7" s="28" t="str">
        <f t="shared" si="2"/>
        <v>Wed</v>
      </c>
      <c r="M7" s="23" t="s">
        <v>87</v>
      </c>
      <c r="N7" s="24" t="s">
        <v>116</v>
      </c>
      <c r="O7" s="23" t="s">
        <v>110</v>
      </c>
      <c r="P7" s="23" t="s">
        <v>89</v>
      </c>
      <c r="Q7" s="23" t="s">
        <v>90</v>
      </c>
      <c r="R7" s="23"/>
      <c r="S7" s="30"/>
      <c r="T7" s="28" t="str">
        <f t="shared" si="3"/>
        <v>Missing</v>
      </c>
      <c r="U7" s="30" t="s">
        <v>24</v>
      </c>
      <c r="V7" s="30" t="s">
        <v>92</v>
      </c>
      <c r="W7" s="30"/>
      <c r="X7" s="31"/>
      <c r="Y7" s="31"/>
      <c r="Z7" s="32" t="str">
        <f t="shared" si="4"/>
        <v/>
      </c>
      <c r="AA7" s="33"/>
      <c r="AB7" s="34"/>
      <c r="AC7" s="35"/>
      <c r="AD7" s="34"/>
      <c r="AE7" s="28" t="str">
        <f t="shared" ca="1" si="5"/>
        <v>Next 45 days</v>
      </c>
      <c r="AF7" s="28">
        <f t="shared" ca="1" si="6"/>
        <v>41</v>
      </c>
      <c r="AG7" s="28" t="str">
        <f t="shared" ca="1" si="7"/>
        <v/>
      </c>
    </row>
    <row r="8" spans="1:33" ht="25.5" x14ac:dyDescent="0.25">
      <c r="A8" s="23" t="s">
        <v>122</v>
      </c>
      <c r="B8" s="23" t="s">
        <v>16</v>
      </c>
      <c r="C8" s="23" t="s">
        <v>105</v>
      </c>
      <c r="D8" s="24" t="s">
        <v>123</v>
      </c>
      <c r="E8" s="25" t="s">
        <v>124</v>
      </c>
      <c r="F8" s="23" t="s">
        <v>108</v>
      </c>
      <c r="G8" s="26">
        <v>46365</v>
      </c>
      <c r="H8" s="26">
        <v>46365</v>
      </c>
      <c r="I8" s="23" t="s">
        <v>24</v>
      </c>
      <c r="J8" s="27">
        <f t="shared" si="0"/>
        <v>46357</v>
      </c>
      <c r="K8" s="28" t="str">
        <f t="shared" si="1"/>
        <v>Semester 1</v>
      </c>
      <c r="L8" s="28" t="str">
        <f t="shared" si="2"/>
        <v>Wed</v>
      </c>
      <c r="M8" s="23" t="s">
        <v>87</v>
      </c>
      <c r="N8" s="24" t="s">
        <v>109</v>
      </c>
      <c r="O8" s="23" t="s">
        <v>110</v>
      </c>
      <c r="P8" s="23" t="s">
        <v>89</v>
      </c>
      <c r="Q8" s="23" t="s">
        <v>90</v>
      </c>
      <c r="R8" s="23"/>
      <c r="S8" s="30"/>
      <c r="T8" s="28" t="str">
        <f t="shared" si="3"/>
        <v>Missing</v>
      </c>
      <c r="U8" s="30" t="s">
        <v>24</v>
      </c>
      <c r="V8" s="30" t="s">
        <v>92</v>
      </c>
      <c r="W8" s="30"/>
      <c r="X8" s="31"/>
      <c r="Y8" s="31"/>
      <c r="Z8" s="32" t="str">
        <f t="shared" si="4"/>
        <v/>
      </c>
      <c r="AA8" s="33"/>
      <c r="AB8" s="34"/>
      <c r="AC8" s="35"/>
      <c r="AD8" s="34"/>
      <c r="AE8" s="28" t="str">
        <f t="shared" ca="1" si="5"/>
        <v>Later</v>
      </c>
      <c r="AF8" s="28">
        <f t="shared" ca="1" si="6"/>
        <v>69</v>
      </c>
      <c r="AG8" s="28" t="str">
        <f t="shared" ca="1" si="7"/>
        <v/>
      </c>
    </row>
    <row r="9" spans="1:33" ht="25.5" x14ac:dyDescent="0.25">
      <c r="A9" s="23" t="s">
        <v>125</v>
      </c>
      <c r="B9" s="23" t="s">
        <v>16</v>
      </c>
      <c r="C9" s="23" t="s">
        <v>112</v>
      </c>
      <c r="D9" s="24" t="s">
        <v>126</v>
      </c>
      <c r="E9" s="25" t="s">
        <v>127</v>
      </c>
      <c r="F9" s="23" t="s">
        <v>128</v>
      </c>
      <c r="G9" s="26">
        <v>46379</v>
      </c>
      <c r="H9" s="26">
        <v>46379</v>
      </c>
      <c r="I9" s="23" t="s">
        <v>24</v>
      </c>
      <c r="J9" s="27">
        <f t="shared" si="0"/>
        <v>46357</v>
      </c>
      <c r="K9" s="28" t="str">
        <f t="shared" si="1"/>
        <v>Semester 1</v>
      </c>
      <c r="L9" s="28" t="str">
        <f t="shared" si="2"/>
        <v>Wed</v>
      </c>
      <c r="M9" s="23" t="s">
        <v>87</v>
      </c>
      <c r="N9" s="24" t="s">
        <v>116</v>
      </c>
      <c r="O9" s="23" t="s">
        <v>117</v>
      </c>
      <c r="P9" s="23" t="s">
        <v>89</v>
      </c>
      <c r="Q9" s="23" t="s">
        <v>90</v>
      </c>
      <c r="R9" s="23"/>
      <c r="S9" s="30"/>
      <c r="T9" s="28" t="str">
        <f t="shared" si="3"/>
        <v>Missing</v>
      </c>
      <c r="U9" s="30" t="s">
        <v>24</v>
      </c>
      <c r="V9" s="30" t="s">
        <v>92</v>
      </c>
      <c r="W9" s="30"/>
      <c r="X9" s="31"/>
      <c r="Y9" s="31"/>
      <c r="Z9" s="32" t="str">
        <f t="shared" si="4"/>
        <v/>
      </c>
      <c r="AA9" s="33"/>
      <c r="AB9" s="34"/>
      <c r="AC9" s="35"/>
      <c r="AD9" s="34"/>
      <c r="AE9" s="28" t="str">
        <f t="shared" ca="1" si="5"/>
        <v>Later</v>
      </c>
      <c r="AF9" s="28">
        <f t="shared" ca="1" si="6"/>
        <v>83</v>
      </c>
      <c r="AG9" s="28" t="str">
        <f t="shared" ca="1" si="7"/>
        <v/>
      </c>
    </row>
    <row r="10" spans="1:33" ht="25.5" x14ac:dyDescent="0.25">
      <c r="A10" s="23" t="s">
        <v>129</v>
      </c>
      <c r="B10" s="23" t="s">
        <v>16</v>
      </c>
      <c r="C10" s="23" t="s">
        <v>105</v>
      </c>
      <c r="D10" s="24" t="s">
        <v>130</v>
      </c>
      <c r="E10" s="25" t="s">
        <v>131</v>
      </c>
      <c r="F10" s="23" t="s">
        <v>108</v>
      </c>
      <c r="G10" s="26">
        <v>46463</v>
      </c>
      <c r="H10" s="26">
        <v>46463</v>
      </c>
      <c r="I10" s="23" t="s">
        <v>24</v>
      </c>
      <c r="J10" s="27">
        <f t="shared" si="0"/>
        <v>46447</v>
      </c>
      <c r="K10" s="28" t="str">
        <f t="shared" si="1"/>
        <v>Semester 2</v>
      </c>
      <c r="L10" s="28" t="str">
        <f t="shared" si="2"/>
        <v>Wed</v>
      </c>
      <c r="M10" s="23" t="s">
        <v>87</v>
      </c>
      <c r="N10" s="24" t="s">
        <v>109</v>
      </c>
      <c r="O10" s="23" t="s">
        <v>110</v>
      </c>
      <c r="P10" s="23" t="s">
        <v>89</v>
      </c>
      <c r="Q10" s="23" t="s">
        <v>90</v>
      </c>
      <c r="R10" s="23"/>
      <c r="S10" s="30"/>
      <c r="T10" s="28" t="str">
        <f t="shared" si="3"/>
        <v>Missing</v>
      </c>
      <c r="U10" s="30" t="s">
        <v>24</v>
      </c>
      <c r="V10" s="30" t="s">
        <v>92</v>
      </c>
      <c r="W10" s="30"/>
      <c r="X10" s="31"/>
      <c r="Y10" s="31"/>
      <c r="Z10" s="32" t="str">
        <f t="shared" si="4"/>
        <v/>
      </c>
      <c r="AA10" s="33"/>
      <c r="AB10" s="34"/>
      <c r="AC10" s="35"/>
      <c r="AD10" s="34"/>
      <c r="AE10" s="28" t="str">
        <f t="shared" ca="1" si="5"/>
        <v>Later</v>
      </c>
      <c r="AF10" s="28">
        <f t="shared" ca="1" si="6"/>
        <v>167</v>
      </c>
      <c r="AG10" s="28" t="str">
        <f t="shared" ca="1" si="7"/>
        <v/>
      </c>
    </row>
    <row r="11" spans="1:33" x14ac:dyDescent="0.25">
      <c r="A11" s="23" t="s">
        <v>132</v>
      </c>
      <c r="B11" s="23" t="s">
        <v>16</v>
      </c>
      <c r="C11" s="23" t="s">
        <v>98</v>
      </c>
      <c r="D11" s="24" t="s">
        <v>133</v>
      </c>
      <c r="E11" s="25" t="s">
        <v>134</v>
      </c>
      <c r="F11" s="23" t="s">
        <v>135</v>
      </c>
      <c r="G11" s="26">
        <v>46477</v>
      </c>
      <c r="H11" s="26">
        <v>46477</v>
      </c>
      <c r="I11" s="23" t="s">
        <v>24</v>
      </c>
      <c r="J11" s="27">
        <f t="shared" si="0"/>
        <v>46447</v>
      </c>
      <c r="K11" s="28" t="str">
        <f t="shared" si="1"/>
        <v>Semester 2</v>
      </c>
      <c r="L11" s="28" t="str">
        <f t="shared" si="2"/>
        <v>Wed</v>
      </c>
      <c r="M11" s="23" t="s">
        <v>87</v>
      </c>
      <c r="N11" s="24" t="s">
        <v>102</v>
      </c>
      <c r="O11" s="23" t="s">
        <v>117</v>
      </c>
      <c r="P11" s="23" t="s">
        <v>89</v>
      </c>
      <c r="Q11" s="23" t="s">
        <v>90</v>
      </c>
      <c r="R11" s="23"/>
      <c r="S11" s="30"/>
      <c r="T11" s="28" t="str">
        <f t="shared" si="3"/>
        <v>Missing</v>
      </c>
      <c r="U11" s="30" t="s">
        <v>24</v>
      </c>
      <c r="V11" s="30" t="s">
        <v>92</v>
      </c>
      <c r="W11" s="30"/>
      <c r="X11" s="31"/>
      <c r="Y11" s="31"/>
      <c r="Z11" s="32" t="str">
        <f t="shared" si="4"/>
        <v/>
      </c>
      <c r="AA11" s="33"/>
      <c r="AB11" s="34"/>
      <c r="AC11" s="35"/>
      <c r="AD11" s="34"/>
      <c r="AE11" s="28" t="str">
        <f t="shared" ca="1" si="5"/>
        <v>Later</v>
      </c>
      <c r="AF11" s="28">
        <f t="shared" ca="1" si="6"/>
        <v>181</v>
      </c>
      <c r="AG11" s="28" t="str">
        <f t="shared" ca="1" si="7"/>
        <v/>
      </c>
    </row>
    <row r="12" spans="1:33" x14ac:dyDescent="0.25">
      <c r="A12" s="23" t="s">
        <v>136</v>
      </c>
      <c r="B12" s="23" t="s">
        <v>16</v>
      </c>
      <c r="C12" s="23" t="s">
        <v>112</v>
      </c>
      <c r="D12" s="24" t="s">
        <v>137</v>
      </c>
      <c r="E12" s="25" t="s">
        <v>138</v>
      </c>
      <c r="F12" s="23" t="s">
        <v>139</v>
      </c>
      <c r="G12" s="26">
        <v>46484</v>
      </c>
      <c r="H12" s="26">
        <v>46484</v>
      </c>
      <c r="I12" s="23" t="s">
        <v>24</v>
      </c>
      <c r="J12" s="27">
        <f t="shared" si="0"/>
        <v>46478</v>
      </c>
      <c r="K12" s="28" t="str">
        <f t="shared" si="1"/>
        <v>Semester 2</v>
      </c>
      <c r="L12" s="28" t="str">
        <f t="shared" si="2"/>
        <v>Wed</v>
      </c>
      <c r="M12" s="23" t="s">
        <v>87</v>
      </c>
      <c r="N12" s="24" t="s">
        <v>116</v>
      </c>
      <c r="O12" s="23"/>
      <c r="P12" s="23" t="s">
        <v>89</v>
      </c>
      <c r="Q12" s="23" t="s">
        <v>90</v>
      </c>
      <c r="R12" s="23"/>
      <c r="S12" s="30"/>
      <c r="T12" s="28" t="str">
        <f t="shared" si="3"/>
        <v>Missing</v>
      </c>
      <c r="U12" s="30" t="s">
        <v>24</v>
      </c>
      <c r="V12" s="30" t="s">
        <v>92</v>
      </c>
      <c r="W12" s="30"/>
      <c r="X12" s="31"/>
      <c r="Y12" s="31"/>
      <c r="Z12" s="32" t="str">
        <f t="shared" si="4"/>
        <v/>
      </c>
      <c r="AA12" s="33"/>
      <c r="AB12" s="34"/>
      <c r="AC12" s="35"/>
      <c r="AD12" s="34"/>
      <c r="AE12" s="28" t="str">
        <f t="shared" ca="1" si="5"/>
        <v>Later</v>
      </c>
      <c r="AF12" s="28">
        <f t="shared" ca="1" si="6"/>
        <v>188</v>
      </c>
      <c r="AG12" s="28" t="str">
        <f t="shared" ca="1" si="7"/>
        <v/>
      </c>
    </row>
    <row r="13" spans="1:33" x14ac:dyDescent="0.25">
      <c r="A13" s="23" t="s">
        <v>140</v>
      </c>
      <c r="B13" s="23" t="s">
        <v>16</v>
      </c>
      <c r="C13" s="23" t="s">
        <v>112</v>
      </c>
      <c r="D13" s="24" t="s">
        <v>141</v>
      </c>
      <c r="E13" s="25" t="s">
        <v>142</v>
      </c>
      <c r="F13" s="23" t="s">
        <v>139</v>
      </c>
      <c r="G13" s="26">
        <v>46498</v>
      </c>
      <c r="H13" s="26">
        <v>46498</v>
      </c>
      <c r="I13" s="23" t="s">
        <v>24</v>
      </c>
      <c r="J13" s="27">
        <f t="shared" si="0"/>
        <v>46478</v>
      </c>
      <c r="K13" s="28" t="str">
        <f t="shared" si="1"/>
        <v>Semester 2</v>
      </c>
      <c r="L13" s="28" t="str">
        <f t="shared" si="2"/>
        <v>Wed</v>
      </c>
      <c r="M13" s="23" t="s">
        <v>87</v>
      </c>
      <c r="N13" s="24" t="s">
        <v>116</v>
      </c>
      <c r="O13" s="23"/>
      <c r="P13" s="23" t="s">
        <v>89</v>
      </c>
      <c r="Q13" s="23" t="s">
        <v>90</v>
      </c>
      <c r="R13" s="23"/>
      <c r="S13" s="30"/>
      <c r="T13" s="28" t="str">
        <f t="shared" si="3"/>
        <v>Missing</v>
      </c>
      <c r="U13" s="30" t="s">
        <v>24</v>
      </c>
      <c r="V13" s="30" t="s">
        <v>92</v>
      </c>
      <c r="W13" s="30"/>
      <c r="X13" s="31"/>
      <c r="Y13" s="31"/>
      <c r="Z13" s="32" t="str">
        <f t="shared" si="4"/>
        <v/>
      </c>
      <c r="AA13" s="33"/>
      <c r="AB13" s="34"/>
      <c r="AC13" s="35"/>
      <c r="AD13" s="34"/>
      <c r="AE13" s="28" t="str">
        <f t="shared" ca="1" si="5"/>
        <v>Later</v>
      </c>
      <c r="AF13" s="28">
        <f t="shared" ca="1" si="6"/>
        <v>202</v>
      </c>
      <c r="AG13" s="28" t="str">
        <f t="shared" ca="1" si="7"/>
        <v/>
      </c>
    </row>
    <row r="14" spans="1:33" x14ac:dyDescent="0.25">
      <c r="A14" s="23" t="s">
        <v>143</v>
      </c>
      <c r="B14" s="23" t="s">
        <v>16</v>
      </c>
      <c r="C14" s="23" t="s">
        <v>112</v>
      </c>
      <c r="D14" s="24" t="s">
        <v>144</v>
      </c>
      <c r="E14" s="25" t="s">
        <v>145</v>
      </c>
      <c r="F14" s="23" t="s">
        <v>139</v>
      </c>
      <c r="G14" s="26">
        <v>46512</v>
      </c>
      <c r="H14" s="26">
        <v>46512</v>
      </c>
      <c r="I14" s="23" t="s">
        <v>24</v>
      </c>
      <c r="J14" s="27">
        <f t="shared" si="0"/>
        <v>46508</v>
      </c>
      <c r="K14" s="28" t="str">
        <f t="shared" si="1"/>
        <v>Semester 2</v>
      </c>
      <c r="L14" s="28" t="str">
        <f t="shared" si="2"/>
        <v>Wed</v>
      </c>
      <c r="M14" s="23" t="s">
        <v>87</v>
      </c>
      <c r="N14" s="24" t="s">
        <v>116</v>
      </c>
      <c r="O14" s="23"/>
      <c r="P14" s="23" t="s">
        <v>89</v>
      </c>
      <c r="Q14" s="23" t="s">
        <v>90</v>
      </c>
      <c r="R14" s="23"/>
      <c r="S14" s="30"/>
      <c r="T14" s="28" t="str">
        <f t="shared" si="3"/>
        <v>Missing</v>
      </c>
      <c r="U14" s="30" t="s">
        <v>24</v>
      </c>
      <c r="V14" s="30" t="s">
        <v>92</v>
      </c>
      <c r="W14" s="30"/>
      <c r="X14" s="31"/>
      <c r="Y14" s="31"/>
      <c r="Z14" s="32" t="str">
        <f t="shared" si="4"/>
        <v/>
      </c>
      <c r="AA14" s="33"/>
      <c r="AB14" s="34"/>
      <c r="AC14" s="35"/>
      <c r="AD14" s="34"/>
      <c r="AE14" s="28" t="str">
        <f t="shared" ca="1" si="5"/>
        <v>Later</v>
      </c>
      <c r="AF14" s="28">
        <f t="shared" ca="1" si="6"/>
        <v>216</v>
      </c>
      <c r="AG14" s="28" t="str">
        <f t="shared" ca="1" si="7"/>
        <v/>
      </c>
    </row>
    <row r="15" spans="1:33" ht="38.25" x14ac:dyDescent="0.25">
      <c r="A15" s="23" t="s">
        <v>146</v>
      </c>
      <c r="B15" s="23" t="s">
        <v>17</v>
      </c>
      <c r="C15" s="23" t="s">
        <v>147</v>
      </c>
      <c r="D15" s="24" t="s">
        <v>148</v>
      </c>
      <c r="E15" s="25" t="s">
        <v>149</v>
      </c>
      <c r="F15" s="23" t="s">
        <v>150</v>
      </c>
      <c r="G15" s="26">
        <v>46286</v>
      </c>
      <c r="H15" s="26">
        <v>46292</v>
      </c>
      <c r="I15" s="23" t="s">
        <v>24</v>
      </c>
      <c r="J15" s="27">
        <f t="shared" si="0"/>
        <v>46266</v>
      </c>
      <c r="K15" s="28" t="str">
        <f t="shared" si="1"/>
        <v>Semester 1</v>
      </c>
      <c r="L15" s="28" t="str">
        <f t="shared" si="2"/>
        <v>Mon</v>
      </c>
      <c r="M15" s="23"/>
      <c r="N15" s="24" t="s">
        <v>151</v>
      </c>
      <c r="O15" s="23"/>
      <c r="P15" s="23" t="s">
        <v>152</v>
      </c>
      <c r="Q15" s="23" t="s">
        <v>90</v>
      </c>
      <c r="R15" s="23"/>
      <c r="S15" s="29" t="s">
        <v>153</v>
      </c>
      <c r="T15" s="28" t="str">
        <f t="shared" si="3"/>
        <v>Published</v>
      </c>
      <c r="U15" s="30" t="s">
        <v>25</v>
      </c>
      <c r="V15" s="30" t="s">
        <v>92</v>
      </c>
      <c r="W15" s="30"/>
      <c r="X15" s="31"/>
      <c r="Y15" s="31"/>
      <c r="Z15" s="32" t="str">
        <f t="shared" si="4"/>
        <v/>
      </c>
      <c r="AA15" s="33"/>
      <c r="AB15" s="34"/>
      <c r="AC15" s="35"/>
      <c r="AD15" s="34"/>
      <c r="AE15" s="28" t="str">
        <f t="shared" ca="1" si="5"/>
        <v>Past</v>
      </c>
      <c r="AF15" s="28" t="str">
        <f t="shared" ca="1" si="6"/>
        <v/>
      </c>
      <c r="AG15" s="28" t="str">
        <f t="shared" ca="1" si="7"/>
        <v>Update status</v>
      </c>
    </row>
    <row r="16" spans="1:33" ht="38.25" x14ac:dyDescent="0.25">
      <c r="A16" s="23" t="s">
        <v>154</v>
      </c>
      <c r="B16" s="23" t="s">
        <v>17</v>
      </c>
      <c r="C16" s="23" t="s">
        <v>147</v>
      </c>
      <c r="D16" s="24" t="s">
        <v>155</v>
      </c>
      <c r="E16" s="25" t="s">
        <v>156</v>
      </c>
      <c r="F16" s="23" t="s">
        <v>150</v>
      </c>
      <c r="G16" s="26">
        <v>46300</v>
      </c>
      <c r="H16" s="26">
        <v>46306</v>
      </c>
      <c r="I16" s="23" t="s">
        <v>24</v>
      </c>
      <c r="J16" s="27">
        <f t="shared" si="0"/>
        <v>46296</v>
      </c>
      <c r="K16" s="28" t="str">
        <f t="shared" si="1"/>
        <v>Semester 1</v>
      </c>
      <c r="L16" s="28" t="str">
        <f t="shared" si="2"/>
        <v>Mon</v>
      </c>
      <c r="M16" s="23"/>
      <c r="N16" s="24" t="s">
        <v>151</v>
      </c>
      <c r="O16" s="23"/>
      <c r="P16" s="23" t="s">
        <v>152</v>
      </c>
      <c r="Q16" s="23" t="s">
        <v>90</v>
      </c>
      <c r="R16" s="23"/>
      <c r="S16" s="29" t="s">
        <v>153</v>
      </c>
      <c r="T16" s="28" t="str">
        <f t="shared" si="3"/>
        <v>Published</v>
      </c>
      <c r="U16" s="30" t="s">
        <v>25</v>
      </c>
      <c r="V16" s="30" t="s">
        <v>92</v>
      </c>
      <c r="W16" s="30"/>
      <c r="X16" s="31"/>
      <c r="Y16" s="31"/>
      <c r="Z16" s="32" t="str">
        <f t="shared" si="4"/>
        <v/>
      </c>
      <c r="AA16" s="33"/>
      <c r="AB16" s="34"/>
      <c r="AC16" s="35"/>
      <c r="AD16" s="34"/>
      <c r="AE16" s="28" t="str">
        <f t="shared" ca="1" si="5"/>
        <v>Next 14 days</v>
      </c>
      <c r="AF16" s="28">
        <f t="shared" ca="1" si="6"/>
        <v>4</v>
      </c>
      <c r="AG16" s="28" t="str">
        <f t="shared" ca="1" si="7"/>
        <v>Announce</v>
      </c>
    </row>
    <row r="17" spans="1:33" ht="38.25" x14ac:dyDescent="0.25">
      <c r="A17" s="23" t="s">
        <v>157</v>
      </c>
      <c r="B17" s="23" t="s">
        <v>17</v>
      </c>
      <c r="C17" s="23" t="s">
        <v>147</v>
      </c>
      <c r="D17" s="24" t="s">
        <v>158</v>
      </c>
      <c r="E17" s="25" t="s">
        <v>159</v>
      </c>
      <c r="F17" s="23" t="s">
        <v>150</v>
      </c>
      <c r="G17" s="26">
        <v>46314</v>
      </c>
      <c r="H17" s="26">
        <v>46320</v>
      </c>
      <c r="I17" s="23" t="s">
        <v>24</v>
      </c>
      <c r="J17" s="27">
        <f t="shared" si="0"/>
        <v>46296</v>
      </c>
      <c r="K17" s="28" t="str">
        <f t="shared" si="1"/>
        <v>Semester 1</v>
      </c>
      <c r="L17" s="28" t="str">
        <f t="shared" si="2"/>
        <v>Mon</v>
      </c>
      <c r="M17" s="23"/>
      <c r="N17" s="24" t="s">
        <v>151</v>
      </c>
      <c r="O17" s="23"/>
      <c r="P17" s="23" t="s">
        <v>152</v>
      </c>
      <c r="Q17" s="23" t="s">
        <v>90</v>
      </c>
      <c r="R17" s="23"/>
      <c r="S17" s="29" t="s">
        <v>153</v>
      </c>
      <c r="T17" s="28" t="str">
        <f t="shared" si="3"/>
        <v>Published</v>
      </c>
      <c r="U17" s="30" t="s">
        <v>25</v>
      </c>
      <c r="V17" s="30" t="s">
        <v>92</v>
      </c>
      <c r="W17" s="30"/>
      <c r="X17" s="31"/>
      <c r="Y17" s="31"/>
      <c r="Z17" s="32" t="str">
        <f t="shared" si="4"/>
        <v/>
      </c>
      <c r="AA17" s="33"/>
      <c r="AB17" s="34"/>
      <c r="AC17" s="35"/>
      <c r="AD17" s="34"/>
      <c r="AE17" s="28" t="str">
        <f t="shared" ca="1" si="5"/>
        <v>Next 45 days</v>
      </c>
      <c r="AF17" s="28">
        <f t="shared" ca="1" si="6"/>
        <v>18</v>
      </c>
      <c r="AG17" s="28" t="str">
        <f t="shared" ca="1" si="7"/>
        <v/>
      </c>
    </row>
    <row r="18" spans="1:33" ht="38.25" x14ac:dyDescent="0.25">
      <c r="A18" s="23" t="s">
        <v>160</v>
      </c>
      <c r="B18" s="23" t="s">
        <v>17</v>
      </c>
      <c r="C18" s="23" t="s">
        <v>147</v>
      </c>
      <c r="D18" s="24" t="s">
        <v>161</v>
      </c>
      <c r="E18" s="25" t="s">
        <v>162</v>
      </c>
      <c r="F18" s="23" t="s">
        <v>150</v>
      </c>
      <c r="G18" s="26">
        <v>46335</v>
      </c>
      <c r="H18" s="26">
        <v>46341</v>
      </c>
      <c r="I18" s="23" t="s">
        <v>24</v>
      </c>
      <c r="J18" s="27">
        <f t="shared" si="0"/>
        <v>46327</v>
      </c>
      <c r="K18" s="28" t="str">
        <f t="shared" si="1"/>
        <v>Semester 1</v>
      </c>
      <c r="L18" s="28" t="str">
        <f t="shared" si="2"/>
        <v>Mon</v>
      </c>
      <c r="M18" s="23"/>
      <c r="N18" s="24" t="s">
        <v>151</v>
      </c>
      <c r="O18" s="23"/>
      <c r="P18" s="23" t="s">
        <v>152</v>
      </c>
      <c r="Q18" s="23" t="s">
        <v>90</v>
      </c>
      <c r="R18" s="23"/>
      <c r="S18" s="29" t="s">
        <v>153</v>
      </c>
      <c r="T18" s="28" t="str">
        <f t="shared" si="3"/>
        <v>Published</v>
      </c>
      <c r="U18" s="30" t="s">
        <v>25</v>
      </c>
      <c r="V18" s="30" t="s">
        <v>92</v>
      </c>
      <c r="W18" s="30"/>
      <c r="X18" s="31"/>
      <c r="Y18" s="31"/>
      <c r="Z18" s="32" t="str">
        <f t="shared" si="4"/>
        <v/>
      </c>
      <c r="AA18" s="33"/>
      <c r="AB18" s="34"/>
      <c r="AC18" s="35"/>
      <c r="AD18" s="34"/>
      <c r="AE18" s="28" t="str">
        <f t="shared" ca="1" si="5"/>
        <v>Next 45 days</v>
      </c>
      <c r="AF18" s="28">
        <f t="shared" ca="1" si="6"/>
        <v>39</v>
      </c>
      <c r="AG18" s="28" t="str">
        <f t="shared" ca="1" si="7"/>
        <v/>
      </c>
    </row>
    <row r="19" spans="1:33" ht="38.25" x14ac:dyDescent="0.25">
      <c r="A19" s="23" t="s">
        <v>163</v>
      </c>
      <c r="B19" s="23" t="s">
        <v>17</v>
      </c>
      <c r="C19" s="23" t="s">
        <v>147</v>
      </c>
      <c r="D19" s="24" t="s">
        <v>164</v>
      </c>
      <c r="E19" s="25" t="s">
        <v>165</v>
      </c>
      <c r="F19" s="23" t="s">
        <v>150</v>
      </c>
      <c r="G19" s="26">
        <v>46349</v>
      </c>
      <c r="H19" s="26">
        <v>46355</v>
      </c>
      <c r="I19" s="23" t="s">
        <v>24</v>
      </c>
      <c r="J19" s="27">
        <f t="shared" si="0"/>
        <v>46327</v>
      </c>
      <c r="K19" s="28" t="str">
        <f t="shared" si="1"/>
        <v>Semester 1</v>
      </c>
      <c r="L19" s="28" t="str">
        <f t="shared" si="2"/>
        <v>Mon</v>
      </c>
      <c r="M19" s="23"/>
      <c r="N19" s="24" t="s">
        <v>151</v>
      </c>
      <c r="O19" s="23"/>
      <c r="P19" s="23" t="s">
        <v>152</v>
      </c>
      <c r="Q19" s="23" t="s">
        <v>90</v>
      </c>
      <c r="R19" s="23"/>
      <c r="S19" s="29" t="s">
        <v>153</v>
      </c>
      <c r="T19" s="28" t="str">
        <f t="shared" si="3"/>
        <v>Published</v>
      </c>
      <c r="U19" s="30" t="s">
        <v>25</v>
      </c>
      <c r="V19" s="30" t="s">
        <v>92</v>
      </c>
      <c r="W19" s="30"/>
      <c r="X19" s="31"/>
      <c r="Y19" s="31"/>
      <c r="Z19" s="32" t="str">
        <f t="shared" si="4"/>
        <v/>
      </c>
      <c r="AA19" s="33"/>
      <c r="AB19" s="34"/>
      <c r="AC19" s="35"/>
      <c r="AD19" s="34"/>
      <c r="AE19" s="28" t="str">
        <f t="shared" ca="1" si="5"/>
        <v>Later</v>
      </c>
      <c r="AF19" s="28">
        <f t="shared" ca="1" si="6"/>
        <v>53</v>
      </c>
      <c r="AG19" s="28" t="str">
        <f t="shared" ca="1" si="7"/>
        <v/>
      </c>
    </row>
    <row r="20" spans="1:33" ht="38.25" x14ac:dyDescent="0.25">
      <c r="A20" s="23" t="s">
        <v>166</v>
      </c>
      <c r="B20" s="23" t="s">
        <v>17</v>
      </c>
      <c r="C20" s="23" t="s">
        <v>147</v>
      </c>
      <c r="D20" s="24" t="s">
        <v>167</v>
      </c>
      <c r="E20" s="25" t="s">
        <v>168</v>
      </c>
      <c r="F20" s="23" t="s">
        <v>150</v>
      </c>
      <c r="G20" s="26">
        <v>46363</v>
      </c>
      <c r="H20" s="26">
        <v>46369</v>
      </c>
      <c r="I20" s="23" t="s">
        <v>24</v>
      </c>
      <c r="J20" s="27">
        <f t="shared" si="0"/>
        <v>46357</v>
      </c>
      <c r="K20" s="28" t="str">
        <f t="shared" si="1"/>
        <v>Semester 1</v>
      </c>
      <c r="L20" s="28" t="str">
        <f t="shared" si="2"/>
        <v>Mon</v>
      </c>
      <c r="M20" s="23"/>
      <c r="N20" s="24" t="s">
        <v>151</v>
      </c>
      <c r="O20" s="23"/>
      <c r="P20" s="23" t="s">
        <v>152</v>
      </c>
      <c r="Q20" s="23" t="s">
        <v>90</v>
      </c>
      <c r="R20" s="23"/>
      <c r="S20" s="29" t="s">
        <v>153</v>
      </c>
      <c r="T20" s="28" t="str">
        <f t="shared" si="3"/>
        <v>Published</v>
      </c>
      <c r="U20" s="30" t="s">
        <v>25</v>
      </c>
      <c r="V20" s="30" t="s">
        <v>92</v>
      </c>
      <c r="W20" s="30"/>
      <c r="X20" s="31"/>
      <c r="Y20" s="31"/>
      <c r="Z20" s="32" t="str">
        <f t="shared" si="4"/>
        <v/>
      </c>
      <c r="AA20" s="33"/>
      <c r="AB20" s="34"/>
      <c r="AC20" s="35"/>
      <c r="AD20" s="34"/>
      <c r="AE20" s="28" t="str">
        <f t="shared" ca="1" si="5"/>
        <v>Later</v>
      </c>
      <c r="AF20" s="28">
        <f t="shared" ca="1" si="6"/>
        <v>67</v>
      </c>
      <c r="AG20" s="28" t="str">
        <f t="shared" ca="1" si="7"/>
        <v/>
      </c>
    </row>
    <row r="21" spans="1:33" ht="38.25" x14ac:dyDescent="0.25">
      <c r="A21" s="23" t="s">
        <v>169</v>
      </c>
      <c r="B21" s="23" t="s">
        <v>17</v>
      </c>
      <c r="C21" s="23" t="s">
        <v>147</v>
      </c>
      <c r="D21" s="24" t="s">
        <v>170</v>
      </c>
      <c r="E21" s="25" t="s">
        <v>171</v>
      </c>
      <c r="F21" s="23" t="s">
        <v>150</v>
      </c>
      <c r="G21" s="26">
        <v>46377</v>
      </c>
      <c r="H21" s="26">
        <v>46383</v>
      </c>
      <c r="I21" s="23" t="s">
        <v>24</v>
      </c>
      <c r="J21" s="27">
        <f t="shared" si="0"/>
        <v>46357</v>
      </c>
      <c r="K21" s="28" t="str">
        <f t="shared" si="1"/>
        <v>Semester 1</v>
      </c>
      <c r="L21" s="28" t="str">
        <f t="shared" si="2"/>
        <v>Mon</v>
      </c>
      <c r="M21" s="23"/>
      <c r="N21" s="24" t="s">
        <v>151</v>
      </c>
      <c r="O21" s="23"/>
      <c r="P21" s="23" t="s">
        <v>152</v>
      </c>
      <c r="Q21" s="23" t="s">
        <v>90</v>
      </c>
      <c r="R21" s="23"/>
      <c r="S21" s="29" t="s">
        <v>153</v>
      </c>
      <c r="T21" s="28" t="str">
        <f t="shared" si="3"/>
        <v>Published</v>
      </c>
      <c r="U21" s="30" t="s">
        <v>25</v>
      </c>
      <c r="V21" s="30" t="s">
        <v>92</v>
      </c>
      <c r="W21" s="30"/>
      <c r="X21" s="31"/>
      <c r="Y21" s="31"/>
      <c r="Z21" s="32" t="str">
        <f t="shared" si="4"/>
        <v/>
      </c>
      <c r="AA21" s="33"/>
      <c r="AB21" s="34"/>
      <c r="AC21" s="35"/>
      <c r="AD21" s="34"/>
      <c r="AE21" s="28" t="str">
        <f t="shared" ca="1" si="5"/>
        <v>Later</v>
      </c>
      <c r="AF21" s="28">
        <f t="shared" ca="1" si="6"/>
        <v>81</v>
      </c>
      <c r="AG21" s="28" t="str">
        <f t="shared" ca="1" si="7"/>
        <v/>
      </c>
    </row>
    <row r="22" spans="1:33" ht="38.25" x14ac:dyDescent="0.25">
      <c r="A22" s="23" t="s">
        <v>172</v>
      </c>
      <c r="B22" s="23" t="s">
        <v>17</v>
      </c>
      <c r="C22" s="23" t="s">
        <v>147</v>
      </c>
      <c r="D22" s="24" t="s">
        <v>173</v>
      </c>
      <c r="E22" s="25" t="s">
        <v>174</v>
      </c>
      <c r="F22" s="23" t="s">
        <v>150</v>
      </c>
      <c r="G22" s="26">
        <v>46391</v>
      </c>
      <c r="H22" s="26">
        <v>46397</v>
      </c>
      <c r="I22" s="23" t="s">
        <v>24</v>
      </c>
      <c r="J22" s="27">
        <f t="shared" si="0"/>
        <v>46388</v>
      </c>
      <c r="K22" s="28" t="str">
        <f t="shared" si="1"/>
        <v>Semester 1</v>
      </c>
      <c r="L22" s="28" t="str">
        <f t="shared" si="2"/>
        <v>Mon</v>
      </c>
      <c r="M22" s="23"/>
      <c r="N22" s="24" t="s">
        <v>151</v>
      </c>
      <c r="O22" s="23"/>
      <c r="P22" s="23" t="s">
        <v>152</v>
      </c>
      <c r="Q22" s="23" t="s">
        <v>90</v>
      </c>
      <c r="R22" s="23"/>
      <c r="S22" s="29" t="s">
        <v>153</v>
      </c>
      <c r="T22" s="28" t="str">
        <f t="shared" si="3"/>
        <v>Published</v>
      </c>
      <c r="U22" s="30" t="s">
        <v>25</v>
      </c>
      <c r="V22" s="30" t="s">
        <v>92</v>
      </c>
      <c r="W22" s="30"/>
      <c r="X22" s="31"/>
      <c r="Y22" s="31"/>
      <c r="Z22" s="32" t="str">
        <f t="shared" si="4"/>
        <v/>
      </c>
      <c r="AA22" s="33"/>
      <c r="AB22" s="34"/>
      <c r="AC22" s="35"/>
      <c r="AD22" s="34"/>
      <c r="AE22" s="28" t="str">
        <f t="shared" ca="1" si="5"/>
        <v>Later</v>
      </c>
      <c r="AF22" s="28">
        <f t="shared" ca="1" si="6"/>
        <v>95</v>
      </c>
      <c r="AG22" s="28" t="str">
        <f t="shared" ca="1" si="7"/>
        <v/>
      </c>
    </row>
    <row r="23" spans="1:33" ht="38.25" x14ac:dyDescent="0.25">
      <c r="A23" s="23" t="s">
        <v>175</v>
      </c>
      <c r="B23" s="23" t="s">
        <v>17</v>
      </c>
      <c r="C23" s="23" t="s">
        <v>147</v>
      </c>
      <c r="D23" s="24" t="s">
        <v>176</v>
      </c>
      <c r="E23" s="25" t="s">
        <v>177</v>
      </c>
      <c r="F23" s="23" t="s">
        <v>150</v>
      </c>
      <c r="G23" s="26">
        <v>46405</v>
      </c>
      <c r="H23" s="26">
        <v>46411</v>
      </c>
      <c r="I23" s="23" t="s">
        <v>24</v>
      </c>
      <c r="J23" s="27">
        <f t="shared" si="0"/>
        <v>46388</v>
      </c>
      <c r="K23" s="28" t="str">
        <f t="shared" si="1"/>
        <v>Semester 1</v>
      </c>
      <c r="L23" s="28" t="str">
        <f t="shared" si="2"/>
        <v>Mon</v>
      </c>
      <c r="M23" s="23"/>
      <c r="N23" s="24" t="s">
        <v>151</v>
      </c>
      <c r="O23" s="23"/>
      <c r="P23" s="23" t="s">
        <v>152</v>
      </c>
      <c r="Q23" s="23" t="s">
        <v>90</v>
      </c>
      <c r="R23" s="23"/>
      <c r="S23" s="29" t="s">
        <v>153</v>
      </c>
      <c r="T23" s="28" t="str">
        <f t="shared" si="3"/>
        <v>Published</v>
      </c>
      <c r="U23" s="30" t="s">
        <v>25</v>
      </c>
      <c r="V23" s="30" t="s">
        <v>92</v>
      </c>
      <c r="W23" s="30"/>
      <c r="X23" s="31"/>
      <c r="Y23" s="31"/>
      <c r="Z23" s="32" t="str">
        <f t="shared" si="4"/>
        <v/>
      </c>
      <c r="AA23" s="33"/>
      <c r="AB23" s="34"/>
      <c r="AC23" s="35"/>
      <c r="AD23" s="34"/>
      <c r="AE23" s="28" t="str">
        <f t="shared" ca="1" si="5"/>
        <v>Later</v>
      </c>
      <c r="AF23" s="28">
        <f t="shared" ca="1" si="6"/>
        <v>109</v>
      </c>
      <c r="AG23" s="28" t="str">
        <f t="shared" ca="1" si="7"/>
        <v/>
      </c>
    </row>
    <row r="24" spans="1:33" ht="38.25" x14ac:dyDescent="0.25">
      <c r="A24" s="23" t="s">
        <v>178</v>
      </c>
      <c r="B24" s="23" t="s">
        <v>17</v>
      </c>
      <c r="C24" s="23" t="s">
        <v>147</v>
      </c>
      <c r="D24" s="24" t="s">
        <v>179</v>
      </c>
      <c r="E24" s="25" t="s">
        <v>180</v>
      </c>
      <c r="F24" s="23" t="s">
        <v>150</v>
      </c>
      <c r="G24" s="26">
        <v>46426</v>
      </c>
      <c r="H24" s="26">
        <v>46432</v>
      </c>
      <c r="I24" s="23" t="s">
        <v>24</v>
      </c>
      <c r="J24" s="27">
        <f t="shared" si="0"/>
        <v>46419</v>
      </c>
      <c r="K24" s="28" t="str">
        <f t="shared" si="1"/>
        <v>Semester 2</v>
      </c>
      <c r="L24" s="28" t="str">
        <f t="shared" si="2"/>
        <v>Mon</v>
      </c>
      <c r="M24" s="23"/>
      <c r="N24" s="24" t="s">
        <v>151</v>
      </c>
      <c r="O24" s="23"/>
      <c r="P24" s="23" t="s">
        <v>152</v>
      </c>
      <c r="Q24" s="23" t="s">
        <v>90</v>
      </c>
      <c r="R24" s="23"/>
      <c r="S24" s="29" t="s">
        <v>153</v>
      </c>
      <c r="T24" s="28" t="str">
        <f t="shared" si="3"/>
        <v>Published</v>
      </c>
      <c r="U24" s="30" t="s">
        <v>25</v>
      </c>
      <c r="V24" s="30" t="s">
        <v>92</v>
      </c>
      <c r="W24" s="30"/>
      <c r="X24" s="31"/>
      <c r="Y24" s="31"/>
      <c r="Z24" s="32" t="str">
        <f t="shared" si="4"/>
        <v/>
      </c>
      <c r="AA24" s="33"/>
      <c r="AB24" s="34"/>
      <c r="AC24" s="35"/>
      <c r="AD24" s="34"/>
      <c r="AE24" s="28" t="str">
        <f t="shared" ca="1" si="5"/>
        <v>Later</v>
      </c>
      <c r="AF24" s="28">
        <f t="shared" ca="1" si="6"/>
        <v>130</v>
      </c>
      <c r="AG24" s="28" t="str">
        <f t="shared" ca="1" si="7"/>
        <v/>
      </c>
    </row>
    <row r="25" spans="1:33" ht="38.25" x14ac:dyDescent="0.25">
      <c r="A25" s="23" t="s">
        <v>181</v>
      </c>
      <c r="B25" s="23" t="s">
        <v>17</v>
      </c>
      <c r="C25" s="23" t="s">
        <v>147</v>
      </c>
      <c r="D25" s="24" t="s">
        <v>182</v>
      </c>
      <c r="E25" s="25" t="s">
        <v>183</v>
      </c>
      <c r="F25" s="23" t="s">
        <v>150</v>
      </c>
      <c r="G25" s="26">
        <v>46440</v>
      </c>
      <c r="H25" s="26">
        <v>46446</v>
      </c>
      <c r="I25" s="23" t="s">
        <v>24</v>
      </c>
      <c r="J25" s="27">
        <f t="shared" si="0"/>
        <v>46419</v>
      </c>
      <c r="K25" s="28" t="str">
        <f t="shared" si="1"/>
        <v>Semester 2</v>
      </c>
      <c r="L25" s="28" t="str">
        <f t="shared" si="2"/>
        <v>Mon</v>
      </c>
      <c r="M25" s="23"/>
      <c r="N25" s="24" t="s">
        <v>151</v>
      </c>
      <c r="O25" s="23"/>
      <c r="P25" s="23" t="s">
        <v>152</v>
      </c>
      <c r="Q25" s="23" t="s">
        <v>90</v>
      </c>
      <c r="R25" s="23"/>
      <c r="S25" s="29" t="s">
        <v>153</v>
      </c>
      <c r="T25" s="28" t="str">
        <f t="shared" si="3"/>
        <v>Published</v>
      </c>
      <c r="U25" s="30" t="s">
        <v>25</v>
      </c>
      <c r="V25" s="30" t="s">
        <v>92</v>
      </c>
      <c r="W25" s="30"/>
      <c r="X25" s="31"/>
      <c r="Y25" s="31"/>
      <c r="Z25" s="32" t="str">
        <f t="shared" si="4"/>
        <v/>
      </c>
      <c r="AA25" s="33"/>
      <c r="AB25" s="34"/>
      <c r="AC25" s="35"/>
      <c r="AD25" s="34"/>
      <c r="AE25" s="28" t="str">
        <f t="shared" ca="1" si="5"/>
        <v>Later</v>
      </c>
      <c r="AF25" s="28">
        <f t="shared" ca="1" si="6"/>
        <v>144</v>
      </c>
      <c r="AG25" s="28" t="str">
        <f t="shared" ca="1" si="7"/>
        <v/>
      </c>
    </row>
    <row r="26" spans="1:33" ht="38.25" x14ac:dyDescent="0.25">
      <c r="A26" s="23" t="s">
        <v>184</v>
      </c>
      <c r="B26" s="23" t="s">
        <v>17</v>
      </c>
      <c r="C26" s="23" t="s">
        <v>147</v>
      </c>
      <c r="D26" s="24" t="s">
        <v>185</v>
      </c>
      <c r="E26" s="25" t="s">
        <v>186</v>
      </c>
      <c r="F26" s="23" t="s">
        <v>150</v>
      </c>
      <c r="G26" s="26">
        <v>46454</v>
      </c>
      <c r="H26" s="26">
        <v>46460</v>
      </c>
      <c r="I26" s="23" t="s">
        <v>24</v>
      </c>
      <c r="J26" s="27">
        <f t="shared" si="0"/>
        <v>46447</v>
      </c>
      <c r="K26" s="28" t="str">
        <f t="shared" si="1"/>
        <v>Semester 2</v>
      </c>
      <c r="L26" s="28" t="str">
        <f t="shared" si="2"/>
        <v>Mon</v>
      </c>
      <c r="M26" s="23"/>
      <c r="N26" s="24" t="s">
        <v>151</v>
      </c>
      <c r="O26" s="23"/>
      <c r="P26" s="23" t="s">
        <v>152</v>
      </c>
      <c r="Q26" s="23" t="s">
        <v>90</v>
      </c>
      <c r="R26" s="23"/>
      <c r="S26" s="29" t="s">
        <v>153</v>
      </c>
      <c r="T26" s="28" t="str">
        <f t="shared" si="3"/>
        <v>Published</v>
      </c>
      <c r="U26" s="30" t="s">
        <v>25</v>
      </c>
      <c r="V26" s="30" t="s">
        <v>92</v>
      </c>
      <c r="W26" s="30"/>
      <c r="X26" s="31"/>
      <c r="Y26" s="31"/>
      <c r="Z26" s="32" t="str">
        <f t="shared" si="4"/>
        <v/>
      </c>
      <c r="AA26" s="33"/>
      <c r="AB26" s="34"/>
      <c r="AC26" s="35"/>
      <c r="AD26" s="34"/>
      <c r="AE26" s="28" t="str">
        <f t="shared" ca="1" si="5"/>
        <v>Later</v>
      </c>
      <c r="AF26" s="28">
        <f t="shared" ca="1" si="6"/>
        <v>158</v>
      </c>
      <c r="AG26" s="28" t="str">
        <f t="shared" ca="1" si="7"/>
        <v/>
      </c>
    </row>
    <row r="27" spans="1:33" ht="38.25" x14ac:dyDescent="0.25">
      <c r="A27" s="23" t="s">
        <v>187</v>
      </c>
      <c r="B27" s="23" t="s">
        <v>17</v>
      </c>
      <c r="C27" s="23" t="s">
        <v>147</v>
      </c>
      <c r="D27" s="24" t="s">
        <v>188</v>
      </c>
      <c r="E27" s="25" t="s">
        <v>189</v>
      </c>
      <c r="F27" s="23" t="s">
        <v>150</v>
      </c>
      <c r="G27" s="26">
        <v>46468</v>
      </c>
      <c r="H27" s="26">
        <v>46474</v>
      </c>
      <c r="I27" s="23" t="s">
        <v>24</v>
      </c>
      <c r="J27" s="27">
        <f t="shared" si="0"/>
        <v>46447</v>
      </c>
      <c r="K27" s="28" t="str">
        <f t="shared" si="1"/>
        <v>Semester 2</v>
      </c>
      <c r="L27" s="28" t="str">
        <f t="shared" si="2"/>
        <v>Mon</v>
      </c>
      <c r="M27" s="23"/>
      <c r="N27" s="24" t="s">
        <v>151</v>
      </c>
      <c r="O27" s="23"/>
      <c r="P27" s="23" t="s">
        <v>152</v>
      </c>
      <c r="Q27" s="23" t="s">
        <v>90</v>
      </c>
      <c r="R27" s="23"/>
      <c r="S27" s="29" t="s">
        <v>153</v>
      </c>
      <c r="T27" s="28" t="str">
        <f t="shared" si="3"/>
        <v>Published</v>
      </c>
      <c r="U27" s="30" t="s">
        <v>25</v>
      </c>
      <c r="V27" s="30" t="s">
        <v>92</v>
      </c>
      <c r="W27" s="30"/>
      <c r="X27" s="31"/>
      <c r="Y27" s="31"/>
      <c r="Z27" s="32" t="str">
        <f t="shared" si="4"/>
        <v/>
      </c>
      <c r="AA27" s="33"/>
      <c r="AB27" s="34"/>
      <c r="AC27" s="35"/>
      <c r="AD27" s="34"/>
      <c r="AE27" s="28" t="str">
        <f t="shared" ca="1" si="5"/>
        <v>Later</v>
      </c>
      <c r="AF27" s="28">
        <f t="shared" ca="1" si="6"/>
        <v>172</v>
      </c>
      <c r="AG27" s="28" t="str">
        <f t="shared" ca="1" si="7"/>
        <v/>
      </c>
    </row>
    <row r="28" spans="1:33" ht="38.25" x14ac:dyDescent="0.25">
      <c r="A28" s="23" t="s">
        <v>190</v>
      </c>
      <c r="B28" s="23" t="s">
        <v>17</v>
      </c>
      <c r="C28" s="23" t="s">
        <v>147</v>
      </c>
      <c r="D28" s="24" t="s">
        <v>191</v>
      </c>
      <c r="E28" s="25" t="s">
        <v>192</v>
      </c>
      <c r="F28" s="23" t="s">
        <v>150</v>
      </c>
      <c r="G28" s="26">
        <v>46482</v>
      </c>
      <c r="H28" s="26">
        <v>46488</v>
      </c>
      <c r="I28" s="23" t="s">
        <v>24</v>
      </c>
      <c r="J28" s="27">
        <f t="shared" si="0"/>
        <v>46478</v>
      </c>
      <c r="K28" s="28" t="str">
        <f t="shared" si="1"/>
        <v>Semester 2</v>
      </c>
      <c r="L28" s="28" t="str">
        <f t="shared" si="2"/>
        <v>Mon</v>
      </c>
      <c r="M28" s="23"/>
      <c r="N28" s="24" t="s">
        <v>151</v>
      </c>
      <c r="O28" s="23"/>
      <c r="P28" s="23" t="s">
        <v>152</v>
      </c>
      <c r="Q28" s="23" t="s">
        <v>90</v>
      </c>
      <c r="R28" s="23"/>
      <c r="S28" s="29" t="s">
        <v>153</v>
      </c>
      <c r="T28" s="28" t="str">
        <f t="shared" si="3"/>
        <v>Published</v>
      </c>
      <c r="U28" s="30" t="s">
        <v>25</v>
      </c>
      <c r="V28" s="30" t="s">
        <v>92</v>
      </c>
      <c r="W28" s="30"/>
      <c r="X28" s="31"/>
      <c r="Y28" s="31"/>
      <c r="Z28" s="32" t="str">
        <f t="shared" si="4"/>
        <v/>
      </c>
      <c r="AA28" s="33"/>
      <c r="AB28" s="34"/>
      <c r="AC28" s="35"/>
      <c r="AD28" s="34"/>
      <c r="AE28" s="28" t="str">
        <f t="shared" ca="1" si="5"/>
        <v>Later</v>
      </c>
      <c r="AF28" s="28">
        <f t="shared" ca="1" si="6"/>
        <v>186</v>
      </c>
      <c r="AG28" s="28" t="str">
        <f t="shared" ca="1" si="7"/>
        <v/>
      </c>
    </row>
    <row r="29" spans="1:33" ht="38.25" x14ac:dyDescent="0.25">
      <c r="A29" s="23" t="s">
        <v>193</v>
      </c>
      <c r="B29" s="23" t="s">
        <v>17</v>
      </c>
      <c r="C29" s="23" t="s">
        <v>147</v>
      </c>
      <c r="D29" s="24" t="s">
        <v>194</v>
      </c>
      <c r="E29" s="25" t="s">
        <v>195</v>
      </c>
      <c r="F29" s="23" t="s">
        <v>150</v>
      </c>
      <c r="G29" s="26">
        <v>46496</v>
      </c>
      <c r="H29" s="26">
        <v>46502</v>
      </c>
      <c r="I29" s="23" t="s">
        <v>24</v>
      </c>
      <c r="J29" s="27">
        <f t="shared" si="0"/>
        <v>46478</v>
      </c>
      <c r="K29" s="28" t="str">
        <f t="shared" si="1"/>
        <v>Semester 2</v>
      </c>
      <c r="L29" s="28" t="str">
        <f t="shared" si="2"/>
        <v>Mon</v>
      </c>
      <c r="M29" s="23"/>
      <c r="N29" s="24" t="s">
        <v>151</v>
      </c>
      <c r="O29" s="23"/>
      <c r="P29" s="23" t="s">
        <v>152</v>
      </c>
      <c r="Q29" s="23" t="s">
        <v>90</v>
      </c>
      <c r="R29" s="23"/>
      <c r="S29" s="29" t="s">
        <v>153</v>
      </c>
      <c r="T29" s="28" t="str">
        <f t="shared" si="3"/>
        <v>Published</v>
      </c>
      <c r="U29" s="30" t="s">
        <v>25</v>
      </c>
      <c r="V29" s="30" t="s">
        <v>92</v>
      </c>
      <c r="W29" s="30"/>
      <c r="X29" s="31"/>
      <c r="Y29" s="31"/>
      <c r="Z29" s="32" t="str">
        <f t="shared" si="4"/>
        <v/>
      </c>
      <c r="AA29" s="33"/>
      <c r="AB29" s="34"/>
      <c r="AC29" s="35"/>
      <c r="AD29" s="34"/>
      <c r="AE29" s="28" t="str">
        <f t="shared" ca="1" si="5"/>
        <v>Later</v>
      </c>
      <c r="AF29" s="28">
        <f t="shared" ca="1" si="6"/>
        <v>200</v>
      </c>
      <c r="AG29" s="28" t="str">
        <f t="shared" ca="1" si="7"/>
        <v/>
      </c>
    </row>
    <row r="30" spans="1:33" ht="38.25" x14ac:dyDescent="0.25">
      <c r="A30" s="23" t="s">
        <v>196</v>
      </c>
      <c r="B30" s="23" t="s">
        <v>17</v>
      </c>
      <c r="C30" s="23" t="s">
        <v>147</v>
      </c>
      <c r="D30" s="24" t="s">
        <v>197</v>
      </c>
      <c r="E30" s="25" t="s">
        <v>198</v>
      </c>
      <c r="F30" s="23" t="s">
        <v>150</v>
      </c>
      <c r="G30" s="26">
        <v>46510</v>
      </c>
      <c r="H30" s="26">
        <v>46516</v>
      </c>
      <c r="I30" s="23" t="s">
        <v>24</v>
      </c>
      <c r="J30" s="27">
        <f t="shared" si="0"/>
        <v>46508</v>
      </c>
      <c r="K30" s="28" t="str">
        <f t="shared" si="1"/>
        <v>Semester 2</v>
      </c>
      <c r="L30" s="28" t="str">
        <f t="shared" si="2"/>
        <v>Mon</v>
      </c>
      <c r="M30" s="23"/>
      <c r="N30" s="24" t="s">
        <v>151</v>
      </c>
      <c r="O30" s="23"/>
      <c r="P30" s="23" t="s">
        <v>152</v>
      </c>
      <c r="Q30" s="23" t="s">
        <v>90</v>
      </c>
      <c r="R30" s="23"/>
      <c r="S30" s="29" t="s">
        <v>153</v>
      </c>
      <c r="T30" s="28" t="str">
        <f t="shared" si="3"/>
        <v>Published</v>
      </c>
      <c r="U30" s="30" t="s">
        <v>25</v>
      </c>
      <c r="V30" s="30" t="s">
        <v>92</v>
      </c>
      <c r="W30" s="30"/>
      <c r="X30" s="31"/>
      <c r="Y30" s="31"/>
      <c r="Z30" s="32" t="str">
        <f t="shared" si="4"/>
        <v/>
      </c>
      <c r="AA30" s="33"/>
      <c r="AB30" s="34"/>
      <c r="AC30" s="35"/>
      <c r="AD30" s="34"/>
      <c r="AE30" s="28" t="str">
        <f t="shared" ca="1" si="5"/>
        <v>Later</v>
      </c>
      <c r="AF30" s="28">
        <f t="shared" ca="1" si="6"/>
        <v>214</v>
      </c>
      <c r="AG30" s="28" t="str">
        <f t="shared" ca="1" si="7"/>
        <v/>
      </c>
    </row>
    <row r="31" spans="1:33" ht="38.25" x14ac:dyDescent="0.25">
      <c r="A31" s="23" t="s">
        <v>199</v>
      </c>
      <c r="B31" s="23" t="s">
        <v>17</v>
      </c>
      <c r="C31" s="23" t="s">
        <v>147</v>
      </c>
      <c r="D31" s="24" t="s">
        <v>200</v>
      </c>
      <c r="E31" s="25" t="s">
        <v>201</v>
      </c>
      <c r="F31" s="23" t="s">
        <v>150</v>
      </c>
      <c r="G31" s="26">
        <v>46531</v>
      </c>
      <c r="H31" s="26">
        <v>46537</v>
      </c>
      <c r="I31" s="23" t="s">
        <v>24</v>
      </c>
      <c r="J31" s="27">
        <f t="shared" si="0"/>
        <v>46508</v>
      </c>
      <c r="K31" s="28" t="str">
        <f t="shared" si="1"/>
        <v>Semester 2</v>
      </c>
      <c r="L31" s="28" t="str">
        <f t="shared" si="2"/>
        <v>Mon</v>
      </c>
      <c r="M31" s="23"/>
      <c r="N31" s="24" t="s">
        <v>151</v>
      </c>
      <c r="O31" s="23"/>
      <c r="P31" s="23" t="s">
        <v>152</v>
      </c>
      <c r="Q31" s="23" t="s">
        <v>90</v>
      </c>
      <c r="R31" s="23"/>
      <c r="S31" s="29" t="s">
        <v>153</v>
      </c>
      <c r="T31" s="28" t="str">
        <f t="shared" si="3"/>
        <v>Published</v>
      </c>
      <c r="U31" s="30" t="s">
        <v>25</v>
      </c>
      <c r="V31" s="30" t="s">
        <v>92</v>
      </c>
      <c r="W31" s="30"/>
      <c r="X31" s="31"/>
      <c r="Y31" s="31"/>
      <c r="Z31" s="32" t="str">
        <f t="shared" si="4"/>
        <v/>
      </c>
      <c r="AA31" s="33"/>
      <c r="AB31" s="34"/>
      <c r="AC31" s="35"/>
      <c r="AD31" s="34"/>
      <c r="AE31" s="28" t="str">
        <f t="shared" ca="1" si="5"/>
        <v>Later</v>
      </c>
      <c r="AF31" s="28">
        <f t="shared" ca="1" si="6"/>
        <v>235</v>
      </c>
      <c r="AG31" s="28" t="str">
        <f t="shared" ca="1" si="7"/>
        <v/>
      </c>
    </row>
    <row r="32" spans="1:33" ht="38.25" x14ac:dyDescent="0.25">
      <c r="A32" s="23" t="s">
        <v>202</v>
      </c>
      <c r="B32" s="23" t="s">
        <v>17</v>
      </c>
      <c r="C32" s="23" t="s">
        <v>147</v>
      </c>
      <c r="D32" s="24" t="s">
        <v>203</v>
      </c>
      <c r="E32" s="25" t="s">
        <v>204</v>
      </c>
      <c r="F32" s="23" t="s">
        <v>150</v>
      </c>
      <c r="G32" s="26">
        <v>46545</v>
      </c>
      <c r="H32" s="26">
        <v>46551</v>
      </c>
      <c r="I32" s="23" t="s">
        <v>24</v>
      </c>
      <c r="J32" s="27">
        <f t="shared" si="0"/>
        <v>46539</v>
      </c>
      <c r="K32" s="28" t="str">
        <f t="shared" si="1"/>
        <v>Semester 2</v>
      </c>
      <c r="L32" s="28" t="str">
        <f t="shared" si="2"/>
        <v>Mon</v>
      </c>
      <c r="M32" s="23"/>
      <c r="N32" s="24" t="s">
        <v>151</v>
      </c>
      <c r="O32" s="23"/>
      <c r="P32" s="23" t="s">
        <v>152</v>
      </c>
      <c r="Q32" s="23" t="s">
        <v>90</v>
      </c>
      <c r="R32" s="23"/>
      <c r="S32" s="29" t="s">
        <v>153</v>
      </c>
      <c r="T32" s="28" t="str">
        <f t="shared" si="3"/>
        <v>Published</v>
      </c>
      <c r="U32" s="30" t="s">
        <v>25</v>
      </c>
      <c r="V32" s="30" t="s">
        <v>92</v>
      </c>
      <c r="W32" s="30"/>
      <c r="X32" s="31"/>
      <c r="Y32" s="31"/>
      <c r="Z32" s="32" t="str">
        <f t="shared" si="4"/>
        <v/>
      </c>
      <c r="AA32" s="33"/>
      <c r="AB32" s="34"/>
      <c r="AC32" s="35"/>
      <c r="AD32" s="34"/>
      <c r="AE32" s="28" t="str">
        <f t="shared" ca="1" si="5"/>
        <v>Later</v>
      </c>
      <c r="AF32" s="28">
        <f t="shared" ca="1" si="6"/>
        <v>249</v>
      </c>
      <c r="AG32" s="28" t="str">
        <f t="shared" ca="1" si="7"/>
        <v/>
      </c>
    </row>
    <row r="33" spans="1:33" ht="38.25" x14ac:dyDescent="0.25">
      <c r="A33" s="23" t="s">
        <v>205</v>
      </c>
      <c r="B33" s="23" t="s">
        <v>17</v>
      </c>
      <c r="C33" s="23" t="s">
        <v>147</v>
      </c>
      <c r="D33" s="24" t="s">
        <v>206</v>
      </c>
      <c r="E33" s="25" t="s">
        <v>207</v>
      </c>
      <c r="F33" s="23" t="s">
        <v>150</v>
      </c>
      <c r="G33" s="26">
        <v>46559</v>
      </c>
      <c r="H33" s="26">
        <v>46565</v>
      </c>
      <c r="I33" s="23" t="s">
        <v>24</v>
      </c>
      <c r="J33" s="27">
        <f t="shared" si="0"/>
        <v>46539</v>
      </c>
      <c r="K33" s="28" t="str">
        <f t="shared" si="1"/>
        <v>Semester 2</v>
      </c>
      <c r="L33" s="28" t="str">
        <f t="shared" si="2"/>
        <v>Mon</v>
      </c>
      <c r="M33" s="23"/>
      <c r="N33" s="24" t="s">
        <v>151</v>
      </c>
      <c r="O33" s="23"/>
      <c r="P33" s="23" t="s">
        <v>152</v>
      </c>
      <c r="Q33" s="23" t="s">
        <v>90</v>
      </c>
      <c r="R33" s="23"/>
      <c r="S33" s="29" t="s">
        <v>153</v>
      </c>
      <c r="T33" s="28" t="str">
        <f t="shared" si="3"/>
        <v>Published</v>
      </c>
      <c r="U33" s="30" t="s">
        <v>25</v>
      </c>
      <c r="V33" s="30" t="s">
        <v>92</v>
      </c>
      <c r="W33" s="30"/>
      <c r="X33" s="31"/>
      <c r="Y33" s="31"/>
      <c r="Z33" s="32" t="str">
        <f t="shared" si="4"/>
        <v/>
      </c>
      <c r="AA33" s="33"/>
      <c r="AB33" s="34"/>
      <c r="AC33" s="35"/>
      <c r="AD33" s="34"/>
      <c r="AE33" s="28" t="str">
        <f t="shared" ca="1" si="5"/>
        <v>Later</v>
      </c>
      <c r="AF33" s="28">
        <f t="shared" ca="1" si="6"/>
        <v>263</v>
      </c>
      <c r="AG33" s="28" t="str">
        <f t="shared" ca="1" si="7"/>
        <v/>
      </c>
    </row>
    <row r="34" spans="1:33" x14ac:dyDescent="0.25">
      <c r="A34" s="23" t="s">
        <v>208</v>
      </c>
      <c r="B34" s="23" t="s">
        <v>18</v>
      </c>
      <c r="C34" s="23" t="s">
        <v>209</v>
      </c>
      <c r="D34" s="24" t="s">
        <v>210</v>
      </c>
      <c r="E34" s="25" t="s">
        <v>211</v>
      </c>
      <c r="F34" s="23" t="s">
        <v>18</v>
      </c>
      <c r="G34" s="26">
        <v>46286</v>
      </c>
      <c r="H34" s="26">
        <v>46286</v>
      </c>
      <c r="I34" s="23" t="s">
        <v>24</v>
      </c>
      <c r="J34" s="27">
        <f t="shared" ref="J34:J65" si="8">IF(G34="","",DATE(YEAR(G34),MONTH(G34),1))</f>
        <v>46266</v>
      </c>
      <c r="K34" s="28" t="str">
        <f t="shared" ref="K34:K65" si="9">IF(G34="","",IF(G34&lt;DATE(2027,2,1),"Semester 1","Semester 2"))</f>
        <v>Semester 1</v>
      </c>
      <c r="L34" s="28" t="str">
        <f t="shared" ref="L34:L65" si="10">IF(I34="Confirmed",TEXT(G34,"ddd"),"TBC")</f>
        <v>Mon</v>
      </c>
      <c r="M34" s="23"/>
      <c r="N34" s="24" t="s">
        <v>212</v>
      </c>
      <c r="O34" s="23"/>
      <c r="P34" s="23" t="s">
        <v>213</v>
      </c>
      <c r="Q34" s="23" t="s">
        <v>90</v>
      </c>
      <c r="R34" s="23" t="s">
        <v>214</v>
      </c>
      <c r="S34" s="29" t="s">
        <v>215</v>
      </c>
      <c r="T34" s="28" t="str">
        <f t="shared" ref="T34:T65" si="11">IF(TRIM(S34)="","Missing","Published")</f>
        <v>Published</v>
      </c>
      <c r="U34" s="30" t="s">
        <v>25</v>
      </c>
      <c r="V34" s="30" t="s">
        <v>92</v>
      </c>
      <c r="W34" s="30"/>
      <c r="X34" s="31"/>
      <c r="Y34" s="31"/>
      <c r="Z34" s="32" t="str">
        <f t="shared" ref="Z34:Z65" si="12">IF(N(X34)&gt;0,N(Y34)/X34,"")</f>
        <v/>
      </c>
      <c r="AA34" s="33"/>
      <c r="AB34" s="34"/>
      <c r="AC34" s="35"/>
      <c r="AD34" s="34"/>
      <c r="AE34" s="28" t="str">
        <f t="shared" ref="AE34:AE65" ca="1" si="13">IF(G34="","",IF(H34&lt;TODAY(),"Past",IF(G34&lt;=TODAY(),"In progress",IF(G34-TODAY()&lt;=14,"Next 14 days",IF(G34-TODAY()&lt;=45,"Next 45 days","Later")))))</f>
        <v>Past</v>
      </c>
      <c r="AF34" s="28" t="str">
        <f t="shared" ref="AF34:AF65" ca="1" si="14">IF(G34="","",IF(H34&lt;TODAY(),"",G34-TODAY()))</f>
        <v/>
      </c>
      <c r="AG34" s="28" t="str">
        <f t="shared" ref="AG34:AG65" ca="1" si="15">IF(AND(AE34="Past",U34&lt;&gt;"Delivered",U34&lt;&gt;"Cancelled",U34&lt;&gt;"Postponed"),"Update status",IF(AND(T34="Missing",OR(AE34="In progress",AE34="Next 14 days")),"Add link",IF(AND(AE34="Next 14 days",V34&lt;&gt;"Published"),"Announce","")))</f>
        <v>Update status</v>
      </c>
    </row>
    <row r="35" spans="1:33" x14ac:dyDescent="0.25">
      <c r="A35" s="23" t="s">
        <v>216</v>
      </c>
      <c r="B35" s="23" t="s">
        <v>18</v>
      </c>
      <c r="C35" s="23" t="s">
        <v>209</v>
      </c>
      <c r="D35" s="24" t="s">
        <v>217</v>
      </c>
      <c r="E35" s="25" t="s">
        <v>218</v>
      </c>
      <c r="F35" s="23" t="s">
        <v>18</v>
      </c>
      <c r="G35" s="26">
        <v>46300</v>
      </c>
      <c r="H35" s="26">
        <v>46300</v>
      </c>
      <c r="I35" s="23" t="s">
        <v>24</v>
      </c>
      <c r="J35" s="27">
        <f t="shared" si="8"/>
        <v>46296</v>
      </c>
      <c r="K35" s="28" t="str">
        <f t="shared" si="9"/>
        <v>Semester 1</v>
      </c>
      <c r="L35" s="28" t="str">
        <f t="shared" si="10"/>
        <v>Mon</v>
      </c>
      <c r="M35" s="23"/>
      <c r="N35" s="24" t="s">
        <v>109</v>
      </c>
      <c r="O35" s="23"/>
      <c r="P35" s="23" t="s">
        <v>219</v>
      </c>
      <c r="Q35" s="23" t="s">
        <v>90</v>
      </c>
      <c r="R35" s="23" t="s">
        <v>214</v>
      </c>
      <c r="S35" s="29" t="s">
        <v>220</v>
      </c>
      <c r="T35" s="28" t="str">
        <f t="shared" si="11"/>
        <v>Published</v>
      </c>
      <c r="U35" s="30" t="s">
        <v>25</v>
      </c>
      <c r="V35" s="30" t="s">
        <v>92</v>
      </c>
      <c r="W35" s="30"/>
      <c r="X35" s="31"/>
      <c r="Y35" s="31"/>
      <c r="Z35" s="32" t="str">
        <f t="shared" si="12"/>
        <v/>
      </c>
      <c r="AA35" s="33"/>
      <c r="AB35" s="34"/>
      <c r="AC35" s="35"/>
      <c r="AD35" s="34"/>
      <c r="AE35" s="28" t="str">
        <f t="shared" ca="1" si="13"/>
        <v>Next 14 days</v>
      </c>
      <c r="AF35" s="28">
        <f t="shared" ca="1" si="14"/>
        <v>4</v>
      </c>
      <c r="AG35" s="28" t="str">
        <f t="shared" ca="1" si="15"/>
        <v>Announce</v>
      </c>
    </row>
    <row r="36" spans="1:33" x14ac:dyDescent="0.25">
      <c r="A36" s="23" t="s">
        <v>221</v>
      </c>
      <c r="B36" s="23" t="s">
        <v>18</v>
      </c>
      <c r="C36" s="23" t="s">
        <v>209</v>
      </c>
      <c r="D36" s="24" t="s">
        <v>222</v>
      </c>
      <c r="E36" s="25" t="s">
        <v>223</v>
      </c>
      <c r="F36" s="23" t="s">
        <v>18</v>
      </c>
      <c r="G36" s="26">
        <v>46301</v>
      </c>
      <c r="H36" s="26">
        <v>46301</v>
      </c>
      <c r="I36" s="23" t="s">
        <v>24</v>
      </c>
      <c r="J36" s="27">
        <f t="shared" si="8"/>
        <v>46296</v>
      </c>
      <c r="K36" s="28" t="str">
        <f t="shared" si="9"/>
        <v>Semester 1</v>
      </c>
      <c r="L36" s="28" t="str">
        <f t="shared" si="10"/>
        <v>Tue</v>
      </c>
      <c r="M36" s="23"/>
      <c r="N36" s="24" t="s">
        <v>212</v>
      </c>
      <c r="O36" s="23"/>
      <c r="P36" s="23" t="s">
        <v>224</v>
      </c>
      <c r="Q36" s="23" t="s">
        <v>90</v>
      </c>
      <c r="R36" s="23" t="s">
        <v>214</v>
      </c>
      <c r="S36" s="29" t="s">
        <v>225</v>
      </c>
      <c r="T36" s="28" t="str">
        <f t="shared" si="11"/>
        <v>Published</v>
      </c>
      <c r="U36" s="30" t="s">
        <v>25</v>
      </c>
      <c r="V36" s="30" t="s">
        <v>92</v>
      </c>
      <c r="W36" s="30"/>
      <c r="X36" s="31"/>
      <c r="Y36" s="31"/>
      <c r="Z36" s="32" t="str">
        <f t="shared" si="12"/>
        <v/>
      </c>
      <c r="AA36" s="33"/>
      <c r="AB36" s="34"/>
      <c r="AC36" s="35"/>
      <c r="AD36" s="34"/>
      <c r="AE36" s="28" t="str">
        <f t="shared" ca="1" si="13"/>
        <v>Next 14 days</v>
      </c>
      <c r="AF36" s="28">
        <f t="shared" ca="1" si="14"/>
        <v>5</v>
      </c>
      <c r="AG36" s="28" t="str">
        <f t="shared" ca="1" si="15"/>
        <v>Announce</v>
      </c>
    </row>
    <row r="37" spans="1:33" x14ac:dyDescent="0.25">
      <c r="A37" s="23" t="s">
        <v>226</v>
      </c>
      <c r="B37" s="23" t="s">
        <v>18</v>
      </c>
      <c r="C37" s="23" t="s">
        <v>227</v>
      </c>
      <c r="D37" s="24" t="s">
        <v>228</v>
      </c>
      <c r="E37" s="25" t="s">
        <v>229</v>
      </c>
      <c r="F37" s="23" t="s">
        <v>18</v>
      </c>
      <c r="G37" s="26">
        <v>46307</v>
      </c>
      <c r="H37" s="26">
        <v>46307</v>
      </c>
      <c r="I37" s="23" t="s">
        <v>24</v>
      </c>
      <c r="J37" s="27">
        <f t="shared" si="8"/>
        <v>46296</v>
      </c>
      <c r="K37" s="28" t="str">
        <f t="shared" si="9"/>
        <v>Semester 1</v>
      </c>
      <c r="L37" s="28" t="str">
        <f t="shared" si="10"/>
        <v>Mon</v>
      </c>
      <c r="M37" s="23"/>
      <c r="N37" s="24" t="s">
        <v>230</v>
      </c>
      <c r="O37" s="23"/>
      <c r="P37" s="23" t="s">
        <v>219</v>
      </c>
      <c r="Q37" s="23" t="s">
        <v>90</v>
      </c>
      <c r="R37" s="23" t="s">
        <v>231</v>
      </c>
      <c r="S37" s="29" t="s">
        <v>232</v>
      </c>
      <c r="T37" s="28" t="str">
        <f t="shared" si="11"/>
        <v>Published</v>
      </c>
      <c r="U37" s="30" t="s">
        <v>25</v>
      </c>
      <c r="V37" s="30" t="s">
        <v>92</v>
      </c>
      <c r="W37" s="30"/>
      <c r="X37" s="31"/>
      <c r="Y37" s="31"/>
      <c r="Z37" s="32" t="str">
        <f t="shared" si="12"/>
        <v/>
      </c>
      <c r="AA37" s="33"/>
      <c r="AB37" s="34"/>
      <c r="AC37" s="35"/>
      <c r="AD37" s="34"/>
      <c r="AE37" s="28" t="str">
        <f t="shared" ca="1" si="13"/>
        <v>Next 14 days</v>
      </c>
      <c r="AF37" s="28">
        <f t="shared" ca="1" si="14"/>
        <v>11</v>
      </c>
      <c r="AG37" s="28" t="str">
        <f t="shared" ca="1" si="15"/>
        <v>Announce</v>
      </c>
    </row>
    <row r="38" spans="1:33" x14ac:dyDescent="0.25">
      <c r="A38" s="23" t="s">
        <v>233</v>
      </c>
      <c r="B38" s="23" t="s">
        <v>18</v>
      </c>
      <c r="C38" s="23" t="s">
        <v>227</v>
      </c>
      <c r="D38" s="24" t="s">
        <v>234</v>
      </c>
      <c r="E38" s="25" t="s">
        <v>235</v>
      </c>
      <c r="F38" s="23" t="s">
        <v>18</v>
      </c>
      <c r="G38" s="26">
        <v>46314</v>
      </c>
      <c r="H38" s="26">
        <v>46314</v>
      </c>
      <c r="I38" s="23" t="s">
        <v>24</v>
      </c>
      <c r="J38" s="27">
        <f t="shared" si="8"/>
        <v>46296</v>
      </c>
      <c r="K38" s="28" t="str">
        <f t="shared" si="9"/>
        <v>Semester 1</v>
      </c>
      <c r="L38" s="28" t="str">
        <f t="shared" si="10"/>
        <v>Mon</v>
      </c>
      <c r="M38" s="23"/>
      <c r="N38" s="24" t="s">
        <v>212</v>
      </c>
      <c r="O38" s="23"/>
      <c r="P38" s="23" t="s">
        <v>219</v>
      </c>
      <c r="Q38" s="23" t="s">
        <v>90</v>
      </c>
      <c r="R38" s="23" t="s">
        <v>214</v>
      </c>
      <c r="S38" s="30"/>
      <c r="T38" s="28" t="str">
        <f t="shared" si="11"/>
        <v>Missing</v>
      </c>
      <c r="U38" s="30" t="s">
        <v>23</v>
      </c>
      <c r="V38" s="30" t="s">
        <v>92</v>
      </c>
      <c r="W38" s="30"/>
      <c r="X38" s="31"/>
      <c r="Y38" s="31"/>
      <c r="Z38" s="32" t="str">
        <f t="shared" si="12"/>
        <v/>
      </c>
      <c r="AA38" s="33"/>
      <c r="AB38" s="34"/>
      <c r="AC38" s="35"/>
      <c r="AD38" s="34"/>
      <c r="AE38" s="28" t="str">
        <f t="shared" ca="1" si="13"/>
        <v>Next 45 days</v>
      </c>
      <c r="AF38" s="28">
        <f t="shared" ca="1" si="14"/>
        <v>18</v>
      </c>
      <c r="AG38" s="28" t="str">
        <f t="shared" ca="1" si="15"/>
        <v/>
      </c>
    </row>
    <row r="39" spans="1:33" x14ac:dyDescent="0.25">
      <c r="A39" s="23" t="s">
        <v>236</v>
      </c>
      <c r="B39" s="23" t="s">
        <v>18</v>
      </c>
      <c r="C39" s="23" t="s">
        <v>209</v>
      </c>
      <c r="D39" s="24" t="s">
        <v>237</v>
      </c>
      <c r="E39" s="25" t="s">
        <v>238</v>
      </c>
      <c r="F39" s="23" t="s">
        <v>18</v>
      </c>
      <c r="G39" s="26">
        <v>46321</v>
      </c>
      <c r="H39" s="26">
        <v>46321</v>
      </c>
      <c r="I39" s="23" t="s">
        <v>24</v>
      </c>
      <c r="J39" s="27">
        <f t="shared" si="8"/>
        <v>46296</v>
      </c>
      <c r="K39" s="28" t="str">
        <f t="shared" si="9"/>
        <v>Semester 1</v>
      </c>
      <c r="L39" s="28" t="str">
        <f t="shared" si="10"/>
        <v>Mon</v>
      </c>
      <c r="M39" s="23"/>
      <c r="N39" s="24" t="s">
        <v>212</v>
      </c>
      <c r="O39" s="23"/>
      <c r="P39" s="23" t="s">
        <v>219</v>
      </c>
      <c r="Q39" s="23" t="s">
        <v>90</v>
      </c>
      <c r="R39" s="23" t="s">
        <v>214</v>
      </c>
      <c r="S39" s="29" t="s">
        <v>239</v>
      </c>
      <c r="T39" s="28" t="str">
        <f t="shared" si="11"/>
        <v>Published</v>
      </c>
      <c r="U39" s="30" t="s">
        <v>25</v>
      </c>
      <c r="V39" s="30" t="s">
        <v>92</v>
      </c>
      <c r="W39" s="30"/>
      <c r="X39" s="31"/>
      <c r="Y39" s="31"/>
      <c r="Z39" s="32" t="str">
        <f t="shared" si="12"/>
        <v/>
      </c>
      <c r="AA39" s="33"/>
      <c r="AB39" s="34"/>
      <c r="AC39" s="35"/>
      <c r="AD39" s="34"/>
      <c r="AE39" s="28" t="str">
        <f t="shared" ca="1" si="13"/>
        <v>Next 45 days</v>
      </c>
      <c r="AF39" s="28">
        <f t="shared" ca="1" si="14"/>
        <v>25</v>
      </c>
      <c r="AG39" s="28" t="str">
        <f t="shared" ca="1" si="15"/>
        <v/>
      </c>
    </row>
    <row r="40" spans="1:33" x14ac:dyDescent="0.25">
      <c r="A40" s="23" t="s">
        <v>240</v>
      </c>
      <c r="B40" s="23" t="s">
        <v>18</v>
      </c>
      <c r="C40" s="23" t="s">
        <v>227</v>
      </c>
      <c r="D40" s="24" t="s">
        <v>241</v>
      </c>
      <c r="E40" s="25" t="s">
        <v>242</v>
      </c>
      <c r="F40" s="23" t="s">
        <v>18</v>
      </c>
      <c r="G40" s="26">
        <v>46328</v>
      </c>
      <c r="H40" s="26">
        <v>46328</v>
      </c>
      <c r="I40" s="23" t="s">
        <v>24</v>
      </c>
      <c r="J40" s="27">
        <f t="shared" si="8"/>
        <v>46327</v>
      </c>
      <c r="K40" s="28" t="str">
        <f t="shared" si="9"/>
        <v>Semester 1</v>
      </c>
      <c r="L40" s="28" t="str">
        <f t="shared" si="10"/>
        <v>Mon</v>
      </c>
      <c r="M40" s="23"/>
      <c r="N40" s="24" t="s">
        <v>243</v>
      </c>
      <c r="O40" s="23"/>
      <c r="P40" s="23" t="s">
        <v>219</v>
      </c>
      <c r="Q40" s="23" t="s">
        <v>90</v>
      </c>
      <c r="R40" s="23" t="s">
        <v>214</v>
      </c>
      <c r="S40" s="29" t="s">
        <v>244</v>
      </c>
      <c r="T40" s="28" t="str">
        <f t="shared" si="11"/>
        <v>Published</v>
      </c>
      <c r="U40" s="30" t="s">
        <v>25</v>
      </c>
      <c r="V40" s="30" t="s">
        <v>92</v>
      </c>
      <c r="W40" s="30"/>
      <c r="X40" s="31"/>
      <c r="Y40" s="31"/>
      <c r="Z40" s="32" t="str">
        <f t="shared" si="12"/>
        <v/>
      </c>
      <c r="AA40" s="33"/>
      <c r="AB40" s="34"/>
      <c r="AC40" s="35"/>
      <c r="AD40" s="34"/>
      <c r="AE40" s="28" t="str">
        <f t="shared" ca="1" si="13"/>
        <v>Next 45 days</v>
      </c>
      <c r="AF40" s="28">
        <f t="shared" ca="1" si="14"/>
        <v>32</v>
      </c>
      <c r="AG40" s="28" t="str">
        <f t="shared" ca="1" si="15"/>
        <v/>
      </c>
    </row>
    <row r="41" spans="1:33" x14ac:dyDescent="0.25">
      <c r="A41" s="23" t="s">
        <v>245</v>
      </c>
      <c r="B41" s="23" t="s">
        <v>18</v>
      </c>
      <c r="C41" s="23" t="s">
        <v>227</v>
      </c>
      <c r="D41" s="24" t="s">
        <v>246</v>
      </c>
      <c r="E41" s="25" t="s">
        <v>247</v>
      </c>
      <c r="F41" s="23" t="s">
        <v>18</v>
      </c>
      <c r="G41" s="26">
        <v>46335</v>
      </c>
      <c r="H41" s="26">
        <v>46335</v>
      </c>
      <c r="I41" s="23" t="s">
        <v>24</v>
      </c>
      <c r="J41" s="27">
        <f t="shared" si="8"/>
        <v>46327</v>
      </c>
      <c r="K41" s="28" t="str">
        <f t="shared" si="9"/>
        <v>Semester 1</v>
      </c>
      <c r="L41" s="28" t="str">
        <f t="shared" si="10"/>
        <v>Mon</v>
      </c>
      <c r="M41" s="23"/>
      <c r="N41" s="24" t="s">
        <v>248</v>
      </c>
      <c r="O41" s="23"/>
      <c r="P41" s="23" t="s">
        <v>219</v>
      </c>
      <c r="Q41" s="23" t="s">
        <v>90</v>
      </c>
      <c r="R41" s="23" t="s">
        <v>214</v>
      </c>
      <c r="S41" s="29" t="s">
        <v>249</v>
      </c>
      <c r="T41" s="28" t="str">
        <f t="shared" si="11"/>
        <v>Published</v>
      </c>
      <c r="U41" s="30" t="s">
        <v>25</v>
      </c>
      <c r="V41" s="30" t="s">
        <v>92</v>
      </c>
      <c r="W41" s="30"/>
      <c r="X41" s="31"/>
      <c r="Y41" s="31"/>
      <c r="Z41" s="32" t="str">
        <f t="shared" si="12"/>
        <v/>
      </c>
      <c r="AA41" s="33"/>
      <c r="AB41" s="34"/>
      <c r="AC41" s="35"/>
      <c r="AD41" s="34"/>
      <c r="AE41" s="28" t="str">
        <f t="shared" ca="1" si="13"/>
        <v>Next 45 days</v>
      </c>
      <c r="AF41" s="28">
        <f t="shared" ca="1" si="14"/>
        <v>39</v>
      </c>
      <c r="AG41" s="28" t="str">
        <f t="shared" ca="1" si="15"/>
        <v/>
      </c>
    </row>
    <row r="42" spans="1:33" x14ac:dyDescent="0.25">
      <c r="A42" s="23" t="s">
        <v>250</v>
      </c>
      <c r="B42" s="23" t="s">
        <v>18</v>
      </c>
      <c r="C42" s="23" t="s">
        <v>227</v>
      </c>
      <c r="D42" s="24" t="s">
        <v>251</v>
      </c>
      <c r="E42" s="25" t="s">
        <v>252</v>
      </c>
      <c r="F42" s="23" t="s">
        <v>18</v>
      </c>
      <c r="G42" s="26">
        <v>46342</v>
      </c>
      <c r="H42" s="26">
        <v>46342</v>
      </c>
      <c r="I42" s="23" t="s">
        <v>24</v>
      </c>
      <c r="J42" s="27">
        <f t="shared" si="8"/>
        <v>46327</v>
      </c>
      <c r="K42" s="28" t="str">
        <f t="shared" si="9"/>
        <v>Semester 1</v>
      </c>
      <c r="L42" s="28" t="str">
        <f t="shared" si="10"/>
        <v>Mon</v>
      </c>
      <c r="M42" s="23"/>
      <c r="N42" s="24" t="s">
        <v>230</v>
      </c>
      <c r="O42" s="23"/>
      <c r="P42" s="23" t="s">
        <v>219</v>
      </c>
      <c r="Q42" s="23" t="s">
        <v>90</v>
      </c>
      <c r="R42" s="23" t="s">
        <v>231</v>
      </c>
      <c r="S42" s="30"/>
      <c r="T42" s="28" t="str">
        <f t="shared" si="11"/>
        <v>Missing</v>
      </c>
      <c r="U42" s="30" t="s">
        <v>23</v>
      </c>
      <c r="V42" s="30" t="s">
        <v>92</v>
      </c>
      <c r="W42" s="30"/>
      <c r="X42" s="31"/>
      <c r="Y42" s="31"/>
      <c r="Z42" s="32" t="str">
        <f t="shared" si="12"/>
        <v/>
      </c>
      <c r="AA42" s="33"/>
      <c r="AB42" s="34"/>
      <c r="AC42" s="35"/>
      <c r="AD42" s="34"/>
      <c r="AE42" s="28" t="str">
        <f t="shared" ca="1" si="13"/>
        <v>Later</v>
      </c>
      <c r="AF42" s="28">
        <f t="shared" ca="1" si="14"/>
        <v>46</v>
      </c>
      <c r="AG42" s="28" t="str">
        <f t="shared" ca="1" si="15"/>
        <v/>
      </c>
    </row>
    <row r="43" spans="1:33" x14ac:dyDescent="0.25">
      <c r="A43" s="23" t="s">
        <v>253</v>
      </c>
      <c r="B43" s="23" t="s">
        <v>18</v>
      </c>
      <c r="C43" s="23" t="s">
        <v>227</v>
      </c>
      <c r="D43" s="24" t="s">
        <v>254</v>
      </c>
      <c r="E43" s="25" t="s">
        <v>255</v>
      </c>
      <c r="F43" s="23" t="s">
        <v>18</v>
      </c>
      <c r="G43" s="26">
        <v>46349</v>
      </c>
      <c r="H43" s="26">
        <v>46349</v>
      </c>
      <c r="I43" s="23" t="s">
        <v>24</v>
      </c>
      <c r="J43" s="27">
        <f t="shared" si="8"/>
        <v>46327</v>
      </c>
      <c r="K43" s="28" t="str">
        <f t="shared" si="9"/>
        <v>Semester 1</v>
      </c>
      <c r="L43" s="28" t="str">
        <f t="shared" si="10"/>
        <v>Mon</v>
      </c>
      <c r="M43" s="23"/>
      <c r="N43" s="24" t="s">
        <v>230</v>
      </c>
      <c r="O43" s="23"/>
      <c r="P43" s="23" t="s">
        <v>219</v>
      </c>
      <c r="Q43" s="23" t="s">
        <v>90</v>
      </c>
      <c r="R43" s="23" t="s">
        <v>231</v>
      </c>
      <c r="S43" s="29" t="s">
        <v>256</v>
      </c>
      <c r="T43" s="28" t="str">
        <f t="shared" si="11"/>
        <v>Published</v>
      </c>
      <c r="U43" s="30" t="s">
        <v>25</v>
      </c>
      <c r="V43" s="30" t="s">
        <v>92</v>
      </c>
      <c r="W43" s="30"/>
      <c r="X43" s="31"/>
      <c r="Y43" s="31"/>
      <c r="Z43" s="32" t="str">
        <f t="shared" si="12"/>
        <v/>
      </c>
      <c r="AA43" s="33"/>
      <c r="AB43" s="34"/>
      <c r="AC43" s="35"/>
      <c r="AD43" s="34"/>
      <c r="AE43" s="28" t="str">
        <f t="shared" ca="1" si="13"/>
        <v>Later</v>
      </c>
      <c r="AF43" s="28">
        <f t="shared" ca="1" si="14"/>
        <v>53</v>
      </c>
      <c r="AG43" s="28" t="str">
        <f t="shared" ca="1" si="15"/>
        <v/>
      </c>
    </row>
    <row r="44" spans="1:33" x14ac:dyDescent="0.25">
      <c r="A44" s="23" t="s">
        <v>257</v>
      </c>
      <c r="B44" s="23" t="s">
        <v>18</v>
      </c>
      <c r="C44" s="23" t="s">
        <v>209</v>
      </c>
      <c r="D44" s="24" t="s">
        <v>258</v>
      </c>
      <c r="E44" s="25" t="s">
        <v>259</v>
      </c>
      <c r="F44" s="23" t="s">
        <v>18</v>
      </c>
      <c r="G44" s="26">
        <v>46356</v>
      </c>
      <c r="H44" s="26">
        <v>46356</v>
      </c>
      <c r="I44" s="23" t="s">
        <v>24</v>
      </c>
      <c r="J44" s="27">
        <f t="shared" si="8"/>
        <v>46327</v>
      </c>
      <c r="K44" s="28" t="str">
        <f t="shared" si="9"/>
        <v>Semester 1</v>
      </c>
      <c r="L44" s="28" t="str">
        <f t="shared" si="10"/>
        <v>Mon</v>
      </c>
      <c r="M44" s="23"/>
      <c r="N44" s="24" t="s">
        <v>212</v>
      </c>
      <c r="O44" s="23"/>
      <c r="P44" s="23" t="s">
        <v>219</v>
      </c>
      <c r="Q44" s="23" t="s">
        <v>90</v>
      </c>
      <c r="R44" s="23" t="s">
        <v>260</v>
      </c>
      <c r="S44" s="29" t="s">
        <v>261</v>
      </c>
      <c r="T44" s="28" t="str">
        <f t="shared" si="11"/>
        <v>Published</v>
      </c>
      <c r="U44" s="30" t="s">
        <v>25</v>
      </c>
      <c r="V44" s="30" t="s">
        <v>92</v>
      </c>
      <c r="W44" s="30"/>
      <c r="X44" s="31"/>
      <c r="Y44" s="31"/>
      <c r="Z44" s="32" t="str">
        <f t="shared" si="12"/>
        <v/>
      </c>
      <c r="AA44" s="33"/>
      <c r="AB44" s="34"/>
      <c r="AC44" s="35"/>
      <c r="AD44" s="34"/>
      <c r="AE44" s="28" t="str">
        <f t="shared" ca="1" si="13"/>
        <v>Later</v>
      </c>
      <c r="AF44" s="28">
        <f t="shared" ca="1" si="14"/>
        <v>60</v>
      </c>
      <c r="AG44" s="28" t="str">
        <f t="shared" ca="1" si="15"/>
        <v/>
      </c>
    </row>
    <row r="45" spans="1:33" x14ac:dyDescent="0.25">
      <c r="A45" s="23" t="s">
        <v>262</v>
      </c>
      <c r="B45" s="23" t="s">
        <v>18</v>
      </c>
      <c r="C45" s="23" t="s">
        <v>227</v>
      </c>
      <c r="D45" s="24" t="s">
        <v>263</v>
      </c>
      <c r="E45" s="25" t="s">
        <v>264</v>
      </c>
      <c r="F45" s="23" t="s">
        <v>18</v>
      </c>
      <c r="G45" s="26">
        <v>46363</v>
      </c>
      <c r="H45" s="26">
        <v>46363</v>
      </c>
      <c r="I45" s="23" t="s">
        <v>24</v>
      </c>
      <c r="J45" s="27">
        <f t="shared" si="8"/>
        <v>46357</v>
      </c>
      <c r="K45" s="28" t="str">
        <f t="shared" si="9"/>
        <v>Semester 1</v>
      </c>
      <c r="L45" s="28" t="str">
        <f t="shared" si="10"/>
        <v>Mon</v>
      </c>
      <c r="M45" s="23"/>
      <c r="N45" s="24" t="s">
        <v>265</v>
      </c>
      <c r="O45" s="23"/>
      <c r="P45" s="23" t="s">
        <v>219</v>
      </c>
      <c r="Q45" s="23" t="s">
        <v>90</v>
      </c>
      <c r="R45" s="23" t="s">
        <v>231</v>
      </c>
      <c r="S45" s="29" t="s">
        <v>266</v>
      </c>
      <c r="T45" s="28" t="str">
        <f t="shared" si="11"/>
        <v>Published</v>
      </c>
      <c r="U45" s="30" t="s">
        <v>25</v>
      </c>
      <c r="V45" s="30" t="s">
        <v>92</v>
      </c>
      <c r="W45" s="30"/>
      <c r="X45" s="31"/>
      <c r="Y45" s="31"/>
      <c r="Z45" s="32" t="str">
        <f t="shared" si="12"/>
        <v/>
      </c>
      <c r="AA45" s="33"/>
      <c r="AB45" s="34"/>
      <c r="AC45" s="35"/>
      <c r="AD45" s="34"/>
      <c r="AE45" s="28" t="str">
        <f t="shared" ca="1" si="13"/>
        <v>Later</v>
      </c>
      <c r="AF45" s="28">
        <f t="shared" ca="1" si="14"/>
        <v>67</v>
      </c>
      <c r="AG45" s="28" t="str">
        <f t="shared" ca="1" si="15"/>
        <v/>
      </c>
    </row>
    <row r="46" spans="1:33" x14ac:dyDescent="0.25">
      <c r="A46" s="23" t="s">
        <v>267</v>
      </c>
      <c r="B46" s="23" t="s">
        <v>18</v>
      </c>
      <c r="C46" s="23" t="s">
        <v>227</v>
      </c>
      <c r="D46" s="24" t="s">
        <v>268</v>
      </c>
      <c r="E46" s="25" t="s">
        <v>269</v>
      </c>
      <c r="F46" s="23" t="s">
        <v>18</v>
      </c>
      <c r="G46" s="26">
        <v>46370</v>
      </c>
      <c r="H46" s="26">
        <v>46370</v>
      </c>
      <c r="I46" s="23" t="s">
        <v>24</v>
      </c>
      <c r="J46" s="27">
        <f t="shared" si="8"/>
        <v>46357</v>
      </c>
      <c r="K46" s="28" t="str">
        <f t="shared" si="9"/>
        <v>Semester 1</v>
      </c>
      <c r="L46" s="28" t="str">
        <f t="shared" si="10"/>
        <v>Mon</v>
      </c>
      <c r="M46" s="23"/>
      <c r="N46" s="24" t="s">
        <v>230</v>
      </c>
      <c r="O46" s="23"/>
      <c r="P46" s="23" t="s">
        <v>219</v>
      </c>
      <c r="Q46" s="23" t="s">
        <v>90</v>
      </c>
      <c r="R46" s="23" t="s">
        <v>231</v>
      </c>
      <c r="S46" s="29" t="s">
        <v>270</v>
      </c>
      <c r="T46" s="28" t="str">
        <f t="shared" si="11"/>
        <v>Published</v>
      </c>
      <c r="U46" s="30" t="s">
        <v>25</v>
      </c>
      <c r="V46" s="30" t="s">
        <v>92</v>
      </c>
      <c r="W46" s="30"/>
      <c r="X46" s="31"/>
      <c r="Y46" s="31"/>
      <c r="Z46" s="32" t="str">
        <f t="shared" si="12"/>
        <v/>
      </c>
      <c r="AA46" s="33"/>
      <c r="AB46" s="34"/>
      <c r="AC46" s="35"/>
      <c r="AD46" s="34"/>
      <c r="AE46" s="28" t="str">
        <f t="shared" ca="1" si="13"/>
        <v>Later</v>
      </c>
      <c r="AF46" s="28">
        <f t="shared" ca="1" si="14"/>
        <v>74</v>
      </c>
      <c r="AG46" s="28" t="str">
        <f t="shared" ca="1" si="15"/>
        <v/>
      </c>
    </row>
    <row r="47" spans="1:33" x14ac:dyDescent="0.25">
      <c r="A47" s="23" t="s">
        <v>271</v>
      </c>
      <c r="B47" s="23" t="s">
        <v>18</v>
      </c>
      <c r="C47" s="23" t="s">
        <v>227</v>
      </c>
      <c r="D47" s="24" t="s">
        <v>272</v>
      </c>
      <c r="E47" s="25" t="s">
        <v>273</v>
      </c>
      <c r="F47" s="23" t="s">
        <v>18</v>
      </c>
      <c r="G47" s="26">
        <v>46377</v>
      </c>
      <c r="H47" s="26">
        <v>46377</v>
      </c>
      <c r="I47" s="23" t="s">
        <v>24</v>
      </c>
      <c r="J47" s="27">
        <f t="shared" si="8"/>
        <v>46357</v>
      </c>
      <c r="K47" s="28" t="str">
        <f t="shared" si="9"/>
        <v>Semester 1</v>
      </c>
      <c r="L47" s="28" t="str">
        <f t="shared" si="10"/>
        <v>Mon</v>
      </c>
      <c r="M47" s="23"/>
      <c r="N47" s="24" t="s">
        <v>265</v>
      </c>
      <c r="O47" s="23"/>
      <c r="P47" s="23" t="s">
        <v>219</v>
      </c>
      <c r="Q47" s="23" t="s">
        <v>90</v>
      </c>
      <c r="R47" s="23" t="s">
        <v>231</v>
      </c>
      <c r="S47" s="30"/>
      <c r="T47" s="28" t="str">
        <f t="shared" si="11"/>
        <v>Missing</v>
      </c>
      <c r="U47" s="30" t="s">
        <v>23</v>
      </c>
      <c r="V47" s="30" t="s">
        <v>92</v>
      </c>
      <c r="W47" s="30"/>
      <c r="X47" s="31"/>
      <c r="Y47" s="31"/>
      <c r="Z47" s="32" t="str">
        <f t="shared" si="12"/>
        <v/>
      </c>
      <c r="AA47" s="33"/>
      <c r="AB47" s="34"/>
      <c r="AC47" s="35"/>
      <c r="AD47" s="34"/>
      <c r="AE47" s="28" t="str">
        <f t="shared" ca="1" si="13"/>
        <v>Later</v>
      </c>
      <c r="AF47" s="28">
        <f t="shared" ca="1" si="14"/>
        <v>81</v>
      </c>
      <c r="AG47" s="28" t="str">
        <f t="shared" ca="1" si="15"/>
        <v/>
      </c>
    </row>
    <row r="48" spans="1:33" x14ac:dyDescent="0.25">
      <c r="A48" s="23" t="s">
        <v>274</v>
      </c>
      <c r="B48" s="23" t="s">
        <v>18</v>
      </c>
      <c r="C48" s="23" t="s">
        <v>227</v>
      </c>
      <c r="D48" s="24" t="s">
        <v>275</v>
      </c>
      <c r="E48" s="25" t="s">
        <v>276</v>
      </c>
      <c r="F48" s="23" t="s">
        <v>18</v>
      </c>
      <c r="G48" s="26">
        <v>46419</v>
      </c>
      <c r="H48" s="26">
        <v>46419</v>
      </c>
      <c r="I48" s="23" t="s">
        <v>24</v>
      </c>
      <c r="J48" s="27">
        <f t="shared" si="8"/>
        <v>46419</v>
      </c>
      <c r="K48" s="28" t="str">
        <f t="shared" si="9"/>
        <v>Semester 2</v>
      </c>
      <c r="L48" s="28" t="str">
        <f t="shared" si="10"/>
        <v>Mon</v>
      </c>
      <c r="M48" s="23"/>
      <c r="N48" s="24" t="s">
        <v>230</v>
      </c>
      <c r="O48" s="23"/>
      <c r="P48" s="23" t="s">
        <v>219</v>
      </c>
      <c r="Q48" s="23" t="s">
        <v>90</v>
      </c>
      <c r="R48" s="23" t="s">
        <v>231</v>
      </c>
      <c r="S48" s="30"/>
      <c r="T48" s="28" t="str">
        <f t="shared" si="11"/>
        <v>Missing</v>
      </c>
      <c r="U48" s="30" t="s">
        <v>23</v>
      </c>
      <c r="V48" s="30" t="s">
        <v>92</v>
      </c>
      <c r="W48" s="30"/>
      <c r="X48" s="31"/>
      <c r="Y48" s="31"/>
      <c r="Z48" s="32" t="str">
        <f t="shared" si="12"/>
        <v/>
      </c>
      <c r="AA48" s="33"/>
      <c r="AB48" s="34"/>
      <c r="AC48" s="35"/>
      <c r="AD48" s="34"/>
      <c r="AE48" s="28" t="str">
        <f t="shared" ca="1" si="13"/>
        <v>Later</v>
      </c>
      <c r="AF48" s="28">
        <f t="shared" ca="1" si="14"/>
        <v>123</v>
      </c>
      <c r="AG48" s="28" t="str">
        <f t="shared" ca="1" si="15"/>
        <v/>
      </c>
    </row>
    <row r="49" spans="1:33" x14ac:dyDescent="0.25">
      <c r="A49" s="23" t="s">
        <v>277</v>
      </c>
      <c r="B49" s="23" t="s">
        <v>18</v>
      </c>
      <c r="C49" s="23" t="s">
        <v>278</v>
      </c>
      <c r="D49" s="24" t="s">
        <v>279</v>
      </c>
      <c r="E49" s="25" t="s">
        <v>280</v>
      </c>
      <c r="F49" s="23" t="s">
        <v>18</v>
      </c>
      <c r="G49" s="26">
        <v>46426</v>
      </c>
      <c r="H49" s="26">
        <v>46426</v>
      </c>
      <c r="I49" s="23" t="s">
        <v>24</v>
      </c>
      <c r="J49" s="27">
        <f t="shared" si="8"/>
        <v>46419</v>
      </c>
      <c r="K49" s="28" t="str">
        <f t="shared" si="9"/>
        <v>Semester 2</v>
      </c>
      <c r="L49" s="28" t="str">
        <f t="shared" si="10"/>
        <v>Mon</v>
      </c>
      <c r="M49" s="23"/>
      <c r="N49" s="24" t="s">
        <v>212</v>
      </c>
      <c r="O49" s="23"/>
      <c r="P49" s="23" t="s">
        <v>219</v>
      </c>
      <c r="Q49" s="23" t="s">
        <v>90</v>
      </c>
      <c r="R49" s="23" t="s">
        <v>260</v>
      </c>
      <c r="S49" s="30"/>
      <c r="T49" s="28" t="str">
        <f t="shared" si="11"/>
        <v>Missing</v>
      </c>
      <c r="U49" s="30" t="s">
        <v>23</v>
      </c>
      <c r="V49" s="30" t="s">
        <v>92</v>
      </c>
      <c r="W49" s="30"/>
      <c r="X49" s="31"/>
      <c r="Y49" s="31"/>
      <c r="Z49" s="32" t="str">
        <f t="shared" si="12"/>
        <v/>
      </c>
      <c r="AA49" s="33"/>
      <c r="AB49" s="34"/>
      <c r="AC49" s="35"/>
      <c r="AD49" s="34"/>
      <c r="AE49" s="28" t="str">
        <f t="shared" ca="1" si="13"/>
        <v>Later</v>
      </c>
      <c r="AF49" s="28">
        <f t="shared" ca="1" si="14"/>
        <v>130</v>
      </c>
      <c r="AG49" s="28" t="str">
        <f t="shared" ca="1" si="15"/>
        <v/>
      </c>
    </row>
    <row r="50" spans="1:33" x14ac:dyDescent="0.25">
      <c r="A50" s="23" t="s">
        <v>281</v>
      </c>
      <c r="B50" s="23" t="s">
        <v>18</v>
      </c>
      <c r="C50" s="23" t="s">
        <v>209</v>
      </c>
      <c r="D50" s="24" t="s">
        <v>282</v>
      </c>
      <c r="E50" s="25" t="s">
        <v>283</v>
      </c>
      <c r="F50" s="23" t="s">
        <v>18</v>
      </c>
      <c r="G50" s="26">
        <v>46433</v>
      </c>
      <c r="H50" s="26">
        <v>46433</v>
      </c>
      <c r="I50" s="23" t="s">
        <v>24</v>
      </c>
      <c r="J50" s="27">
        <f t="shared" si="8"/>
        <v>46419</v>
      </c>
      <c r="K50" s="28" t="str">
        <f t="shared" si="9"/>
        <v>Semester 2</v>
      </c>
      <c r="L50" s="28" t="str">
        <f t="shared" si="10"/>
        <v>Mon</v>
      </c>
      <c r="M50" s="23"/>
      <c r="N50" s="24" t="s">
        <v>212</v>
      </c>
      <c r="O50" s="23"/>
      <c r="P50" s="23" t="s">
        <v>213</v>
      </c>
      <c r="Q50" s="23" t="s">
        <v>90</v>
      </c>
      <c r="R50" s="23" t="s">
        <v>214</v>
      </c>
      <c r="S50" s="30"/>
      <c r="T50" s="28" t="str">
        <f t="shared" si="11"/>
        <v>Missing</v>
      </c>
      <c r="U50" s="30" t="s">
        <v>23</v>
      </c>
      <c r="V50" s="30" t="s">
        <v>92</v>
      </c>
      <c r="W50" s="30"/>
      <c r="X50" s="31"/>
      <c r="Y50" s="31"/>
      <c r="Z50" s="32" t="str">
        <f t="shared" si="12"/>
        <v/>
      </c>
      <c r="AA50" s="33"/>
      <c r="AB50" s="34"/>
      <c r="AC50" s="35"/>
      <c r="AD50" s="34"/>
      <c r="AE50" s="28" t="str">
        <f t="shared" ca="1" si="13"/>
        <v>Later</v>
      </c>
      <c r="AF50" s="28">
        <f t="shared" ca="1" si="14"/>
        <v>137</v>
      </c>
      <c r="AG50" s="28" t="str">
        <f t="shared" ca="1" si="15"/>
        <v/>
      </c>
    </row>
    <row r="51" spans="1:33" x14ac:dyDescent="0.25">
      <c r="A51" s="23" t="s">
        <v>284</v>
      </c>
      <c r="B51" s="23" t="s">
        <v>18</v>
      </c>
      <c r="C51" s="23" t="s">
        <v>278</v>
      </c>
      <c r="D51" s="24" t="s">
        <v>285</v>
      </c>
      <c r="E51" s="25" t="s">
        <v>286</v>
      </c>
      <c r="F51" s="23" t="s">
        <v>18</v>
      </c>
      <c r="G51" s="26">
        <v>46433</v>
      </c>
      <c r="H51" s="26">
        <v>46433</v>
      </c>
      <c r="I51" s="23" t="s">
        <v>24</v>
      </c>
      <c r="J51" s="27">
        <f t="shared" si="8"/>
        <v>46419</v>
      </c>
      <c r="K51" s="28" t="str">
        <f t="shared" si="9"/>
        <v>Semester 2</v>
      </c>
      <c r="L51" s="28" t="str">
        <f t="shared" si="10"/>
        <v>Mon</v>
      </c>
      <c r="M51" s="23"/>
      <c r="N51" s="24" t="s">
        <v>212</v>
      </c>
      <c r="O51" s="23"/>
      <c r="P51" s="23" t="s">
        <v>219</v>
      </c>
      <c r="Q51" s="23" t="s">
        <v>90</v>
      </c>
      <c r="R51" s="23" t="s">
        <v>260</v>
      </c>
      <c r="S51" s="30"/>
      <c r="T51" s="28" t="str">
        <f t="shared" si="11"/>
        <v>Missing</v>
      </c>
      <c r="U51" s="30" t="s">
        <v>23</v>
      </c>
      <c r="V51" s="30" t="s">
        <v>92</v>
      </c>
      <c r="W51" s="30"/>
      <c r="X51" s="31"/>
      <c r="Y51" s="31"/>
      <c r="Z51" s="32" t="str">
        <f t="shared" si="12"/>
        <v/>
      </c>
      <c r="AA51" s="33"/>
      <c r="AB51" s="34"/>
      <c r="AC51" s="35"/>
      <c r="AD51" s="34"/>
      <c r="AE51" s="28" t="str">
        <f t="shared" ca="1" si="13"/>
        <v>Later</v>
      </c>
      <c r="AF51" s="28">
        <f t="shared" ca="1" si="14"/>
        <v>137</v>
      </c>
      <c r="AG51" s="28" t="str">
        <f t="shared" ca="1" si="15"/>
        <v/>
      </c>
    </row>
    <row r="52" spans="1:33" x14ac:dyDescent="0.25">
      <c r="A52" s="23" t="s">
        <v>287</v>
      </c>
      <c r="B52" s="23" t="s">
        <v>18</v>
      </c>
      <c r="C52" s="23" t="s">
        <v>278</v>
      </c>
      <c r="D52" s="24" t="s">
        <v>288</v>
      </c>
      <c r="E52" s="25" t="s">
        <v>289</v>
      </c>
      <c r="F52" s="23" t="s">
        <v>18</v>
      </c>
      <c r="G52" s="26">
        <v>46433</v>
      </c>
      <c r="H52" s="26">
        <v>46433</v>
      </c>
      <c r="I52" s="23" t="s">
        <v>24</v>
      </c>
      <c r="J52" s="27">
        <f t="shared" si="8"/>
        <v>46419</v>
      </c>
      <c r="K52" s="28" t="str">
        <f t="shared" si="9"/>
        <v>Semester 2</v>
      </c>
      <c r="L52" s="28" t="str">
        <f t="shared" si="10"/>
        <v>Mon</v>
      </c>
      <c r="M52" s="23"/>
      <c r="N52" s="24" t="s">
        <v>212</v>
      </c>
      <c r="O52" s="23"/>
      <c r="P52" s="23" t="s">
        <v>219</v>
      </c>
      <c r="Q52" s="23" t="s">
        <v>90</v>
      </c>
      <c r="R52" s="23" t="s">
        <v>260</v>
      </c>
      <c r="S52" s="30"/>
      <c r="T52" s="28" t="str">
        <f t="shared" si="11"/>
        <v>Missing</v>
      </c>
      <c r="U52" s="30" t="s">
        <v>23</v>
      </c>
      <c r="V52" s="30" t="s">
        <v>92</v>
      </c>
      <c r="W52" s="30"/>
      <c r="X52" s="31"/>
      <c r="Y52" s="31"/>
      <c r="Z52" s="32" t="str">
        <f t="shared" si="12"/>
        <v/>
      </c>
      <c r="AA52" s="33"/>
      <c r="AB52" s="34"/>
      <c r="AC52" s="35"/>
      <c r="AD52" s="34"/>
      <c r="AE52" s="28" t="str">
        <f t="shared" ca="1" si="13"/>
        <v>Later</v>
      </c>
      <c r="AF52" s="28">
        <f t="shared" ca="1" si="14"/>
        <v>137</v>
      </c>
      <c r="AG52" s="28" t="str">
        <f t="shared" ca="1" si="15"/>
        <v/>
      </c>
    </row>
    <row r="53" spans="1:33" x14ac:dyDescent="0.25">
      <c r="A53" s="23" t="s">
        <v>290</v>
      </c>
      <c r="B53" s="23" t="s">
        <v>18</v>
      </c>
      <c r="C53" s="23" t="s">
        <v>278</v>
      </c>
      <c r="D53" s="24" t="s">
        <v>291</v>
      </c>
      <c r="E53" s="25" t="s">
        <v>292</v>
      </c>
      <c r="F53" s="23" t="s">
        <v>18</v>
      </c>
      <c r="G53" s="26">
        <v>46440</v>
      </c>
      <c r="H53" s="26">
        <v>46440</v>
      </c>
      <c r="I53" s="23" t="s">
        <v>24</v>
      </c>
      <c r="J53" s="27">
        <f t="shared" si="8"/>
        <v>46419</v>
      </c>
      <c r="K53" s="28" t="str">
        <f t="shared" si="9"/>
        <v>Semester 2</v>
      </c>
      <c r="L53" s="28" t="str">
        <f t="shared" si="10"/>
        <v>Mon</v>
      </c>
      <c r="M53" s="23"/>
      <c r="N53" s="24" t="s">
        <v>212</v>
      </c>
      <c r="O53" s="23"/>
      <c r="P53" s="23" t="s">
        <v>219</v>
      </c>
      <c r="Q53" s="23" t="s">
        <v>90</v>
      </c>
      <c r="R53" s="23" t="s">
        <v>260</v>
      </c>
      <c r="S53" s="30"/>
      <c r="T53" s="28" t="str">
        <f t="shared" si="11"/>
        <v>Missing</v>
      </c>
      <c r="U53" s="30" t="s">
        <v>23</v>
      </c>
      <c r="V53" s="30" t="s">
        <v>92</v>
      </c>
      <c r="W53" s="30"/>
      <c r="X53" s="31"/>
      <c r="Y53" s="31"/>
      <c r="Z53" s="32" t="str">
        <f t="shared" si="12"/>
        <v/>
      </c>
      <c r="AA53" s="33"/>
      <c r="AB53" s="34"/>
      <c r="AC53" s="35"/>
      <c r="AD53" s="34"/>
      <c r="AE53" s="28" t="str">
        <f t="shared" ca="1" si="13"/>
        <v>Later</v>
      </c>
      <c r="AF53" s="28">
        <f t="shared" ca="1" si="14"/>
        <v>144</v>
      </c>
      <c r="AG53" s="28" t="str">
        <f t="shared" ca="1" si="15"/>
        <v/>
      </c>
    </row>
    <row r="54" spans="1:33" x14ac:dyDescent="0.25">
      <c r="A54" s="23" t="s">
        <v>293</v>
      </c>
      <c r="B54" s="23" t="s">
        <v>18</v>
      </c>
      <c r="C54" s="23" t="s">
        <v>278</v>
      </c>
      <c r="D54" s="24" t="s">
        <v>294</v>
      </c>
      <c r="E54" s="25" t="s">
        <v>295</v>
      </c>
      <c r="F54" s="23" t="s">
        <v>18</v>
      </c>
      <c r="G54" s="26">
        <v>46447</v>
      </c>
      <c r="H54" s="26">
        <v>46447</v>
      </c>
      <c r="I54" s="23" t="s">
        <v>24</v>
      </c>
      <c r="J54" s="27">
        <f t="shared" si="8"/>
        <v>46447</v>
      </c>
      <c r="K54" s="28" t="str">
        <f t="shared" si="9"/>
        <v>Semester 2</v>
      </c>
      <c r="L54" s="28" t="str">
        <f t="shared" si="10"/>
        <v>Mon</v>
      </c>
      <c r="M54" s="23"/>
      <c r="N54" s="24" t="s">
        <v>212</v>
      </c>
      <c r="O54" s="23"/>
      <c r="P54" s="23" t="s">
        <v>219</v>
      </c>
      <c r="Q54" s="23" t="s">
        <v>90</v>
      </c>
      <c r="R54" s="23" t="s">
        <v>260</v>
      </c>
      <c r="S54" s="30"/>
      <c r="T54" s="28" t="str">
        <f t="shared" si="11"/>
        <v>Missing</v>
      </c>
      <c r="U54" s="30" t="s">
        <v>23</v>
      </c>
      <c r="V54" s="30" t="s">
        <v>92</v>
      </c>
      <c r="W54" s="30"/>
      <c r="X54" s="31"/>
      <c r="Y54" s="31"/>
      <c r="Z54" s="32" t="str">
        <f t="shared" si="12"/>
        <v/>
      </c>
      <c r="AA54" s="33"/>
      <c r="AB54" s="34"/>
      <c r="AC54" s="35"/>
      <c r="AD54" s="34"/>
      <c r="AE54" s="28" t="str">
        <f t="shared" ca="1" si="13"/>
        <v>Later</v>
      </c>
      <c r="AF54" s="28">
        <f t="shared" ca="1" si="14"/>
        <v>151</v>
      </c>
      <c r="AG54" s="28" t="str">
        <f t="shared" ca="1" si="15"/>
        <v/>
      </c>
    </row>
    <row r="55" spans="1:33" x14ac:dyDescent="0.25">
      <c r="A55" s="23" t="s">
        <v>296</v>
      </c>
      <c r="B55" s="23" t="s">
        <v>18</v>
      </c>
      <c r="C55" s="23" t="s">
        <v>278</v>
      </c>
      <c r="D55" s="24" t="s">
        <v>297</v>
      </c>
      <c r="E55" s="25" t="s">
        <v>298</v>
      </c>
      <c r="F55" s="23" t="s">
        <v>18</v>
      </c>
      <c r="G55" s="26">
        <v>46454</v>
      </c>
      <c r="H55" s="26">
        <v>46454</v>
      </c>
      <c r="I55" s="23" t="s">
        <v>24</v>
      </c>
      <c r="J55" s="27">
        <f t="shared" si="8"/>
        <v>46447</v>
      </c>
      <c r="K55" s="28" t="str">
        <f t="shared" si="9"/>
        <v>Semester 2</v>
      </c>
      <c r="L55" s="28" t="str">
        <f t="shared" si="10"/>
        <v>Mon</v>
      </c>
      <c r="M55" s="23"/>
      <c r="N55" s="24" t="s">
        <v>212</v>
      </c>
      <c r="O55" s="23"/>
      <c r="P55" s="23" t="s">
        <v>219</v>
      </c>
      <c r="Q55" s="23" t="s">
        <v>90</v>
      </c>
      <c r="R55" s="23" t="s">
        <v>260</v>
      </c>
      <c r="S55" s="30"/>
      <c r="T55" s="28" t="str">
        <f t="shared" si="11"/>
        <v>Missing</v>
      </c>
      <c r="U55" s="30" t="s">
        <v>23</v>
      </c>
      <c r="V55" s="30" t="s">
        <v>92</v>
      </c>
      <c r="W55" s="30"/>
      <c r="X55" s="31"/>
      <c r="Y55" s="31"/>
      <c r="Z55" s="32" t="str">
        <f t="shared" si="12"/>
        <v/>
      </c>
      <c r="AA55" s="33"/>
      <c r="AB55" s="34"/>
      <c r="AC55" s="35"/>
      <c r="AD55" s="34"/>
      <c r="AE55" s="28" t="str">
        <f t="shared" ca="1" si="13"/>
        <v>Later</v>
      </c>
      <c r="AF55" s="28">
        <f t="shared" ca="1" si="14"/>
        <v>158</v>
      </c>
      <c r="AG55" s="28" t="str">
        <f t="shared" ca="1" si="15"/>
        <v/>
      </c>
    </row>
    <row r="56" spans="1:33" x14ac:dyDescent="0.25">
      <c r="A56" s="23" t="s">
        <v>299</v>
      </c>
      <c r="B56" s="23" t="s">
        <v>18</v>
      </c>
      <c r="C56" s="23" t="s">
        <v>227</v>
      </c>
      <c r="D56" s="24" t="s">
        <v>300</v>
      </c>
      <c r="E56" s="25" t="s">
        <v>301</v>
      </c>
      <c r="F56" s="23" t="s">
        <v>18</v>
      </c>
      <c r="G56" s="26">
        <v>46468</v>
      </c>
      <c r="H56" s="26">
        <v>46468</v>
      </c>
      <c r="I56" s="23" t="s">
        <v>24</v>
      </c>
      <c r="J56" s="27">
        <f t="shared" si="8"/>
        <v>46447</v>
      </c>
      <c r="K56" s="28" t="str">
        <f t="shared" si="9"/>
        <v>Semester 2</v>
      </c>
      <c r="L56" s="28" t="str">
        <f t="shared" si="10"/>
        <v>Mon</v>
      </c>
      <c r="M56" s="23"/>
      <c r="N56" s="24" t="s">
        <v>248</v>
      </c>
      <c r="O56" s="23"/>
      <c r="P56" s="23" t="s">
        <v>219</v>
      </c>
      <c r="Q56" s="23" t="s">
        <v>90</v>
      </c>
      <c r="R56" s="23" t="s">
        <v>214</v>
      </c>
      <c r="S56" s="30"/>
      <c r="T56" s="28" t="str">
        <f t="shared" si="11"/>
        <v>Missing</v>
      </c>
      <c r="U56" s="30" t="s">
        <v>23</v>
      </c>
      <c r="V56" s="30" t="s">
        <v>92</v>
      </c>
      <c r="W56" s="30"/>
      <c r="X56" s="31"/>
      <c r="Y56" s="31"/>
      <c r="Z56" s="32" t="str">
        <f t="shared" si="12"/>
        <v/>
      </c>
      <c r="AA56" s="33"/>
      <c r="AB56" s="34"/>
      <c r="AC56" s="35"/>
      <c r="AD56" s="34"/>
      <c r="AE56" s="28" t="str">
        <f t="shared" ca="1" si="13"/>
        <v>Later</v>
      </c>
      <c r="AF56" s="28">
        <f t="shared" ca="1" si="14"/>
        <v>172</v>
      </c>
      <c r="AG56" s="28" t="str">
        <f t="shared" ca="1" si="15"/>
        <v/>
      </c>
    </row>
    <row r="57" spans="1:33" x14ac:dyDescent="0.25">
      <c r="A57" s="23" t="s">
        <v>302</v>
      </c>
      <c r="B57" s="23" t="s">
        <v>18</v>
      </c>
      <c r="C57" s="23" t="s">
        <v>227</v>
      </c>
      <c r="D57" s="24" t="s">
        <v>303</v>
      </c>
      <c r="E57" s="25" t="s">
        <v>304</v>
      </c>
      <c r="F57" s="23" t="s">
        <v>18</v>
      </c>
      <c r="G57" s="26">
        <v>46475</v>
      </c>
      <c r="H57" s="26">
        <v>46475</v>
      </c>
      <c r="I57" s="23" t="s">
        <v>24</v>
      </c>
      <c r="J57" s="27">
        <f t="shared" si="8"/>
        <v>46447</v>
      </c>
      <c r="K57" s="28" t="str">
        <f t="shared" si="9"/>
        <v>Semester 2</v>
      </c>
      <c r="L57" s="28" t="str">
        <f t="shared" si="10"/>
        <v>Mon</v>
      </c>
      <c r="M57" s="23"/>
      <c r="N57" s="24" t="s">
        <v>265</v>
      </c>
      <c r="O57" s="23"/>
      <c r="P57" s="23" t="s">
        <v>219</v>
      </c>
      <c r="Q57" s="23" t="s">
        <v>90</v>
      </c>
      <c r="R57" s="23" t="s">
        <v>231</v>
      </c>
      <c r="S57" s="30"/>
      <c r="T57" s="28" t="str">
        <f t="shared" si="11"/>
        <v>Missing</v>
      </c>
      <c r="U57" s="30" t="s">
        <v>23</v>
      </c>
      <c r="V57" s="30" t="s">
        <v>92</v>
      </c>
      <c r="W57" s="30"/>
      <c r="X57" s="31"/>
      <c r="Y57" s="31"/>
      <c r="Z57" s="32" t="str">
        <f t="shared" si="12"/>
        <v/>
      </c>
      <c r="AA57" s="33"/>
      <c r="AB57" s="34"/>
      <c r="AC57" s="35"/>
      <c r="AD57" s="34"/>
      <c r="AE57" s="28" t="str">
        <f t="shared" ca="1" si="13"/>
        <v>Later</v>
      </c>
      <c r="AF57" s="28">
        <f t="shared" ca="1" si="14"/>
        <v>179</v>
      </c>
      <c r="AG57" s="28" t="str">
        <f t="shared" ca="1" si="15"/>
        <v/>
      </c>
    </row>
    <row r="58" spans="1:33" x14ac:dyDescent="0.25">
      <c r="A58" s="23" t="s">
        <v>305</v>
      </c>
      <c r="B58" s="23" t="s">
        <v>18</v>
      </c>
      <c r="C58" s="23" t="s">
        <v>227</v>
      </c>
      <c r="D58" s="24" t="s">
        <v>306</v>
      </c>
      <c r="E58" s="25" t="s">
        <v>307</v>
      </c>
      <c r="F58" s="23" t="s">
        <v>18</v>
      </c>
      <c r="G58" s="26">
        <v>46482</v>
      </c>
      <c r="H58" s="26">
        <v>46482</v>
      </c>
      <c r="I58" s="23" t="s">
        <v>24</v>
      </c>
      <c r="J58" s="27">
        <f t="shared" si="8"/>
        <v>46478</v>
      </c>
      <c r="K58" s="28" t="str">
        <f t="shared" si="9"/>
        <v>Semester 2</v>
      </c>
      <c r="L58" s="28" t="str">
        <f t="shared" si="10"/>
        <v>Mon</v>
      </c>
      <c r="M58" s="23"/>
      <c r="N58" s="24" t="s">
        <v>265</v>
      </c>
      <c r="O58" s="23"/>
      <c r="P58" s="23" t="s">
        <v>219</v>
      </c>
      <c r="Q58" s="23" t="s">
        <v>90</v>
      </c>
      <c r="R58" s="23" t="s">
        <v>231</v>
      </c>
      <c r="S58" s="30"/>
      <c r="T58" s="28" t="str">
        <f t="shared" si="11"/>
        <v>Missing</v>
      </c>
      <c r="U58" s="30" t="s">
        <v>23</v>
      </c>
      <c r="V58" s="30" t="s">
        <v>92</v>
      </c>
      <c r="W58" s="30"/>
      <c r="X58" s="31"/>
      <c r="Y58" s="31"/>
      <c r="Z58" s="32" t="str">
        <f t="shared" si="12"/>
        <v/>
      </c>
      <c r="AA58" s="33"/>
      <c r="AB58" s="34"/>
      <c r="AC58" s="35"/>
      <c r="AD58" s="34"/>
      <c r="AE58" s="28" t="str">
        <f t="shared" ca="1" si="13"/>
        <v>Later</v>
      </c>
      <c r="AF58" s="28">
        <f t="shared" ca="1" si="14"/>
        <v>186</v>
      </c>
      <c r="AG58" s="28" t="str">
        <f t="shared" ca="1" si="15"/>
        <v/>
      </c>
    </row>
    <row r="59" spans="1:33" x14ac:dyDescent="0.25">
      <c r="A59" s="23" t="s">
        <v>308</v>
      </c>
      <c r="B59" s="23" t="s">
        <v>18</v>
      </c>
      <c r="C59" s="23" t="s">
        <v>227</v>
      </c>
      <c r="D59" s="24" t="s">
        <v>309</v>
      </c>
      <c r="E59" s="25" t="s">
        <v>310</v>
      </c>
      <c r="F59" s="23" t="s">
        <v>18</v>
      </c>
      <c r="G59" s="26">
        <v>46489</v>
      </c>
      <c r="H59" s="26">
        <v>46489</v>
      </c>
      <c r="I59" s="23" t="s">
        <v>24</v>
      </c>
      <c r="J59" s="27">
        <f t="shared" si="8"/>
        <v>46478</v>
      </c>
      <c r="K59" s="28" t="str">
        <f t="shared" si="9"/>
        <v>Semester 2</v>
      </c>
      <c r="L59" s="28" t="str">
        <f t="shared" si="10"/>
        <v>Mon</v>
      </c>
      <c r="M59" s="23"/>
      <c r="N59" s="24" t="s">
        <v>265</v>
      </c>
      <c r="O59" s="23"/>
      <c r="P59" s="23" t="s">
        <v>219</v>
      </c>
      <c r="Q59" s="23" t="s">
        <v>90</v>
      </c>
      <c r="R59" s="23" t="s">
        <v>231</v>
      </c>
      <c r="S59" s="30"/>
      <c r="T59" s="28" t="str">
        <f t="shared" si="11"/>
        <v>Missing</v>
      </c>
      <c r="U59" s="30" t="s">
        <v>23</v>
      </c>
      <c r="V59" s="30" t="s">
        <v>92</v>
      </c>
      <c r="W59" s="30"/>
      <c r="X59" s="31"/>
      <c r="Y59" s="31"/>
      <c r="Z59" s="32" t="str">
        <f t="shared" si="12"/>
        <v/>
      </c>
      <c r="AA59" s="33"/>
      <c r="AB59" s="34"/>
      <c r="AC59" s="35"/>
      <c r="AD59" s="34"/>
      <c r="AE59" s="28" t="str">
        <f t="shared" ca="1" si="13"/>
        <v>Later</v>
      </c>
      <c r="AF59" s="28">
        <f t="shared" ca="1" si="14"/>
        <v>193</v>
      </c>
      <c r="AG59" s="28" t="str">
        <f t="shared" ca="1" si="15"/>
        <v/>
      </c>
    </row>
    <row r="60" spans="1:33" x14ac:dyDescent="0.25">
      <c r="A60" s="23" t="s">
        <v>311</v>
      </c>
      <c r="B60" s="23" t="s">
        <v>18</v>
      </c>
      <c r="C60" s="23" t="s">
        <v>227</v>
      </c>
      <c r="D60" s="24" t="s">
        <v>312</v>
      </c>
      <c r="E60" s="25" t="s">
        <v>313</v>
      </c>
      <c r="F60" s="23" t="s">
        <v>18</v>
      </c>
      <c r="G60" s="26">
        <v>46496</v>
      </c>
      <c r="H60" s="26">
        <v>46496</v>
      </c>
      <c r="I60" s="23" t="s">
        <v>24</v>
      </c>
      <c r="J60" s="27">
        <f t="shared" si="8"/>
        <v>46478</v>
      </c>
      <c r="K60" s="28" t="str">
        <f t="shared" si="9"/>
        <v>Semester 2</v>
      </c>
      <c r="L60" s="28" t="str">
        <f t="shared" si="10"/>
        <v>Mon</v>
      </c>
      <c r="M60" s="23"/>
      <c r="N60" s="24" t="s">
        <v>314</v>
      </c>
      <c r="O60" s="23"/>
      <c r="P60" s="23" t="s">
        <v>219</v>
      </c>
      <c r="Q60" s="23" t="s">
        <v>90</v>
      </c>
      <c r="R60" s="23" t="s">
        <v>214</v>
      </c>
      <c r="S60" s="30"/>
      <c r="T60" s="28" t="str">
        <f t="shared" si="11"/>
        <v>Missing</v>
      </c>
      <c r="U60" s="30" t="s">
        <v>23</v>
      </c>
      <c r="V60" s="30" t="s">
        <v>92</v>
      </c>
      <c r="W60" s="30"/>
      <c r="X60" s="31"/>
      <c r="Y60" s="31"/>
      <c r="Z60" s="32" t="str">
        <f t="shared" si="12"/>
        <v/>
      </c>
      <c r="AA60" s="33"/>
      <c r="AB60" s="34"/>
      <c r="AC60" s="35"/>
      <c r="AD60" s="34"/>
      <c r="AE60" s="28" t="str">
        <f t="shared" ca="1" si="13"/>
        <v>Later</v>
      </c>
      <c r="AF60" s="28">
        <f t="shared" ca="1" si="14"/>
        <v>200</v>
      </c>
      <c r="AG60" s="28" t="str">
        <f t="shared" ca="1" si="15"/>
        <v/>
      </c>
    </row>
    <row r="61" spans="1:33" x14ac:dyDescent="0.25">
      <c r="A61" s="23" t="s">
        <v>315</v>
      </c>
      <c r="B61" s="23" t="s">
        <v>18</v>
      </c>
      <c r="C61" s="23" t="s">
        <v>278</v>
      </c>
      <c r="D61" s="24" t="s">
        <v>316</v>
      </c>
      <c r="E61" s="25" t="s">
        <v>317</v>
      </c>
      <c r="F61" s="23" t="s">
        <v>18</v>
      </c>
      <c r="G61" s="26">
        <v>46496</v>
      </c>
      <c r="H61" s="26">
        <v>46496</v>
      </c>
      <c r="I61" s="23" t="s">
        <v>24</v>
      </c>
      <c r="J61" s="27">
        <f t="shared" si="8"/>
        <v>46478</v>
      </c>
      <c r="K61" s="28" t="str">
        <f t="shared" si="9"/>
        <v>Semester 2</v>
      </c>
      <c r="L61" s="28" t="str">
        <f t="shared" si="10"/>
        <v>Mon</v>
      </c>
      <c r="M61" s="23"/>
      <c r="N61" s="24" t="s">
        <v>212</v>
      </c>
      <c r="O61" s="23"/>
      <c r="P61" s="23" t="s">
        <v>219</v>
      </c>
      <c r="Q61" s="23" t="s">
        <v>90</v>
      </c>
      <c r="R61" s="23" t="s">
        <v>260</v>
      </c>
      <c r="S61" s="30"/>
      <c r="T61" s="28" t="str">
        <f t="shared" si="11"/>
        <v>Missing</v>
      </c>
      <c r="U61" s="30" t="s">
        <v>23</v>
      </c>
      <c r="V61" s="30" t="s">
        <v>92</v>
      </c>
      <c r="W61" s="30"/>
      <c r="X61" s="31"/>
      <c r="Y61" s="31"/>
      <c r="Z61" s="32" t="str">
        <f t="shared" si="12"/>
        <v/>
      </c>
      <c r="AA61" s="33"/>
      <c r="AB61" s="34"/>
      <c r="AC61" s="35"/>
      <c r="AD61" s="34"/>
      <c r="AE61" s="28" t="str">
        <f t="shared" ca="1" si="13"/>
        <v>Later</v>
      </c>
      <c r="AF61" s="28">
        <f t="shared" ca="1" si="14"/>
        <v>200</v>
      </c>
      <c r="AG61" s="28" t="str">
        <f t="shared" ca="1" si="15"/>
        <v/>
      </c>
    </row>
    <row r="62" spans="1:33" x14ac:dyDescent="0.25">
      <c r="A62" s="23" t="s">
        <v>318</v>
      </c>
      <c r="B62" s="23" t="s">
        <v>18</v>
      </c>
      <c r="C62" s="23" t="s">
        <v>227</v>
      </c>
      <c r="D62" s="24" t="s">
        <v>319</v>
      </c>
      <c r="E62" s="25" t="s">
        <v>320</v>
      </c>
      <c r="F62" s="23" t="s">
        <v>18</v>
      </c>
      <c r="G62" s="26">
        <v>46503</v>
      </c>
      <c r="H62" s="26">
        <v>46503</v>
      </c>
      <c r="I62" s="23" t="s">
        <v>24</v>
      </c>
      <c r="J62" s="27">
        <f t="shared" si="8"/>
        <v>46478</v>
      </c>
      <c r="K62" s="28" t="str">
        <f t="shared" si="9"/>
        <v>Semester 2</v>
      </c>
      <c r="L62" s="28" t="str">
        <f t="shared" si="10"/>
        <v>Mon</v>
      </c>
      <c r="M62" s="23"/>
      <c r="N62" s="24" t="s">
        <v>265</v>
      </c>
      <c r="O62" s="23"/>
      <c r="P62" s="23" t="s">
        <v>219</v>
      </c>
      <c r="Q62" s="23" t="s">
        <v>90</v>
      </c>
      <c r="R62" s="23" t="s">
        <v>231</v>
      </c>
      <c r="S62" s="30"/>
      <c r="T62" s="28" t="str">
        <f t="shared" si="11"/>
        <v>Missing</v>
      </c>
      <c r="U62" s="30" t="s">
        <v>23</v>
      </c>
      <c r="V62" s="30" t="s">
        <v>92</v>
      </c>
      <c r="W62" s="30"/>
      <c r="X62" s="31"/>
      <c r="Y62" s="31"/>
      <c r="Z62" s="32" t="str">
        <f t="shared" si="12"/>
        <v/>
      </c>
      <c r="AA62" s="33"/>
      <c r="AB62" s="34"/>
      <c r="AC62" s="35"/>
      <c r="AD62" s="34"/>
      <c r="AE62" s="28" t="str">
        <f t="shared" ca="1" si="13"/>
        <v>Later</v>
      </c>
      <c r="AF62" s="28">
        <f t="shared" ca="1" si="14"/>
        <v>207</v>
      </c>
      <c r="AG62" s="28" t="str">
        <f t="shared" ca="1" si="15"/>
        <v/>
      </c>
    </row>
    <row r="63" spans="1:33" x14ac:dyDescent="0.25">
      <c r="A63" s="23" t="s">
        <v>321</v>
      </c>
      <c r="B63" s="23" t="s">
        <v>18</v>
      </c>
      <c r="C63" s="23" t="s">
        <v>278</v>
      </c>
      <c r="D63" s="24" t="s">
        <v>322</v>
      </c>
      <c r="E63" s="25" t="s">
        <v>323</v>
      </c>
      <c r="F63" s="23" t="s">
        <v>18</v>
      </c>
      <c r="G63" s="26">
        <v>46517</v>
      </c>
      <c r="H63" s="26">
        <v>46517</v>
      </c>
      <c r="I63" s="23" t="s">
        <v>24</v>
      </c>
      <c r="J63" s="27">
        <f t="shared" si="8"/>
        <v>46508</v>
      </c>
      <c r="K63" s="28" t="str">
        <f t="shared" si="9"/>
        <v>Semester 2</v>
      </c>
      <c r="L63" s="28" t="str">
        <f t="shared" si="10"/>
        <v>Mon</v>
      </c>
      <c r="M63" s="23"/>
      <c r="N63" s="24" t="s">
        <v>212</v>
      </c>
      <c r="O63" s="23"/>
      <c r="P63" s="23" t="s">
        <v>219</v>
      </c>
      <c r="Q63" s="23" t="s">
        <v>90</v>
      </c>
      <c r="R63" s="23" t="s">
        <v>260</v>
      </c>
      <c r="S63" s="30"/>
      <c r="T63" s="28" t="str">
        <f t="shared" si="11"/>
        <v>Missing</v>
      </c>
      <c r="U63" s="30" t="s">
        <v>23</v>
      </c>
      <c r="V63" s="30" t="s">
        <v>92</v>
      </c>
      <c r="W63" s="30"/>
      <c r="X63" s="31"/>
      <c r="Y63" s="31"/>
      <c r="Z63" s="32" t="str">
        <f t="shared" si="12"/>
        <v/>
      </c>
      <c r="AA63" s="33"/>
      <c r="AB63" s="34"/>
      <c r="AC63" s="35"/>
      <c r="AD63" s="34"/>
      <c r="AE63" s="28" t="str">
        <f t="shared" ca="1" si="13"/>
        <v>Later</v>
      </c>
      <c r="AF63" s="28">
        <f t="shared" ca="1" si="14"/>
        <v>221</v>
      </c>
      <c r="AG63" s="28" t="str">
        <f t="shared" ca="1" si="15"/>
        <v/>
      </c>
    </row>
    <row r="64" spans="1:33" x14ac:dyDescent="0.25">
      <c r="A64" s="23" t="s">
        <v>324</v>
      </c>
      <c r="B64" s="23" t="s">
        <v>18</v>
      </c>
      <c r="C64" s="23" t="s">
        <v>209</v>
      </c>
      <c r="D64" s="24" t="s">
        <v>325</v>
      </c>
      <c r="E64" s="25" t="s">
        <v>326</v>
      </c>
      <c r="F64" s="23" t="s">
        <v>18</v>
      </c>
      <c r="G64" s="26">
        <v>46531</v>
      </c>
      <c r="H64" s="26">
        <v>46531</v>
      </c>
      <c r="I64" s="23" t="s">
        <v>24</v>
      </c>
      <c r="J64" s="27">
        <f t="shared" si="8"/>
        <v>46508</v>
      </c>
      <c r="K64" s="28" t="str">
        <f t="shared" si="9"/>
        <v>Semester 2</v>
      </c>
      <c r="L64" s="28" t="str">
        <f t="shared" si="10"/>
        <v>Mon</v>
      </c>
      <c r="M64" s="23"/>
      <c r="N64" s="24" t="s">
        <v>212</v>
      </c>
      <c r="O64" s="23"/>
      <c r="P64" s="23" t="s">
        <v>327</v>
      </c>
      <c r="Q64" s="23" t="s">
        <v>90</v>
      </c>
      <c r="R64" s="23" t="s">
        <v>214</v>
      </c>
      <c r="S64" s="30"/>
      <c r="T64" s="28" t="str">
        <f t="shared" si="11"/>
        <v>Missing</v>
      </c>
      <c r="U64" s="30" t="s">
        <v>23</v>
      </c>
      <c r="V64" s="30" t="s">
        <v>92</v>
      </c>
      <c r="W64" s="30"/>
      <c r="X64" s="31"/>
      <c r="Y64" s="31"/>
      <c r="Z64" s="32" t="str">
        <f t="shared" si="12"/>
        <v/>
      </c>
      <c r="AA64" s="33"/>
      <c r="AB64" s="34"/>
      <c r="AC64" s="35"/>
      <c r="AD64" s="34"/>
      <c r="AE64" s="28" t="str">
        <f t="shared" ca="1" si="13"/>
        <v>Later</v>
      </c>
      <c r="AF64" s="28">
        <f t="shared" ca="1" si="14"/>
        <v>235</v>
      </c>
      <c r="AG64" s="28" t="str">
        <f t="shared" ca="1" si="15"/>
        <v/>
      </c>
    </row>
    <row r="65" spans="1:33" x14ac:dyDescent="0.25">
      <c r="A65" s="23" t="s">
        <v>328</v>
      </c>
      <c r="B65" s="23" t="s">
        <v>18</v>
      </c>
      <c r="C65" s="23" t="s">
        <v>278</v>
      </c>
      <c r="D65" s="24" t="s">
        <v>329</v>
      </c>
      <c r="E65" s="25" t="s">
        <v>330</v>
      </c>
      <c r="F65" s="23" t="s">
        <v>18</v>
      </c>
      <c r="G65" s="26">
        <v>46552</v>
      </c>
      <c r="H65" s="26">
        <v>46552</v>
      </c>
      <c r="I65" s="23" t="s">
        <v>24</v>
      </c>
      <c r="J65" s="27">
        <f t="shared" si="8"/>
        <v>46539</v>
      </c>
      <c r="K65" s="28" t="str">
        <f t="shared" si="9"/>
        <v>Semester 2</v>
      </c>
      <c r="L65" s="28" t="str">
        <f t="shared" si="10"/>
        <v>Mon</v>
      </c>
      <c r="M65" s="23"/>
      <c r="N65" s="24" t="s">
        <v>212</v>
      </c>
      <c r="O65" s="23"/>
      <c r="P65" s="23" t="s">
        <v>219</v>
      </c>
      <c r="Q65" s="23" t="s">
        <v>90</v>
      </c>
      <c r="R65" s="23" t="s">
        <v>260</v>
      </c>
      <c r="S65" s="30"/>
      <c r="T65" s="28" t="str">
        <f t="shared" si="11"/>
        <v>Missing</v>
      </c>
      <c r="U65" s="30" t="s">
        <v>23</v>
      </c>
      <c r="V65" s="30" t="s">
        <v>92</v>
      </c>
      <c r="W65" s="30"/>
      <c r="X65" s="31"/>
      <c r="Y65" s="31"/>
      <c r="Z65" s="32" t="str">
        <f t="shared" si="12"/>
        <v/>
      </c>
      <c r="AA65" s="33"/>
      <c r="AB65" s="34"/>
      <c r="AC65" s="35"/>
      <c r="AD65" s="34"/>
      <c r="AE65" s="28" t="str">
        <f t="shared" ca="1" si="13"/>
        <v>Later</v>
      </c>
      <c r="AF65" s="28">
        <f t="shared" ca="1" si="14"/>
        <v>256</v>
      </c>
      <c r="AG65" s="28" t="str">
        <f t="shared" ca="1" si="15"/>
        <v/>
      </c>
    </row>
    <row r="66" spans="1:33" x14ac:dyDescent="0.25">
      <c r="A66" s="23" t="s">
        <v>331</v>
      </c>
      <c r="B66" s="23" t="s">
        <v>19</v>
      </c>
      <c r="C66" s="23" t="s">
        <v>332</v>
      </c>
      <c r="D66" s="24" t="s">
        <v>333</v>
      </c>
      <c r="E66" s="25" t="s">
        <v>334</v>
      </c>
      <c r="F66" s="23" t="s">
        <v>335</v>
      </c>
      <c r="G66" s="26">
        <v>46321</v>
      </c>
      <c r="H66" s="26">
        <v>46321</v>
      </c>
      <c r="I66" s="23" t="s">
        <v>24</v>
      </c>
      <c r="J66" s="27">
        <f t="shared" ref="J66:J81" si="16">IF(G66="","",DATE(YEAR(G66),MONTH(G66),1))</f>
        <v>46296</v>
      </c>
      <c r="K66" s="28" t="str">
        <f t="shared" ref="K66:K81" si="17">IF(G66="","",IF(G66&lt;DATE(2027,2,1),"Semester 1","Semester 2"))</f>
        <v>Semester 1</v>
      </c>
      <c r="L66" s="28" t="str">
        <f t="shared" ref="L66:L81" si="18">IF(I66="Confirmed",TEXT(G66,"ddd"),"TBC")</f>
        <v>Mon</v>
      </c>
      <c r="M66" s="23"/>
      <c r="N66" s="24" t="s">
        <v>336</v>
      </c>
      <c r="O66" s="23"/>
      <c r="P66" s="23"/>
      <c r="Q66" s="23" t="s">
        <v>90</v>
      </c>
      <c r="R66" s="23"/>
      <c r="S66" s="30"/>
      <c r="T66" s="28" t="str">
        <f t="shared" ref="T66:T97" si="19">IF(TRIM(S66)="","Missing","Published")</f>
        <v>Missing</v>
      </c>
      <c r="U66" s="30" t="s">
        <v>23</v>
      </c>
      <c r="V66" s="30" t="s">
        <v>92</v>
      </c>
      <c r="W66" s="30"/>
      <c r="X66" s="31"/>
      <c r="Y66" s="31"/>
      <c r="Z66" s="32" t="str">
        <f t="shared" ref="Z66:Z97" si="20">IF(N(X66)&gt;0,N(Y66)/X66,"")</f>
        <v/>
      </c>
      <c r="AA66" s="33"/>
      <c r="AB66" s="34"/>
      <c r="AC66" s="35"/>
      <c r="AD66" s="34"/>
      <c r="AE66" s="28" t="str">
        <f t="shared" ref="AE66:AE81" ca="1" si="21">IF(G66="","",IF(H66&lt;TODAY(),"Past",IF(G66&lt;=TODAY(),"In progress",IF(G66-TODAY()&lt;=14,"Next 14 days",IF(G66-TODAY()&lt;=45,"Next 45 days","Later")))))</f>
        <v>Next 45 days</v>
      </c>
      <c r="AF66" s="28">
        <f t="shared" ref="AF66:AF81" ca="1" si="22">IF(G66="","",IF(H66&lt;TODAY(),"",G66-TODAY()))</f>
        <v>25</v>
      </c>
      <c r="AG66" s="28" t="str">
        <f t="shared" ref="AG66:AG81" ca="1" si="23">IF(AND(AE66="Past",U66&lt;&gt;"Delivered",U66&lt;&gt;"Cancelled",U66&lt;&gt;"Postponed"),"Update status",IF(AND(T66="Missing",OR(AE66="In progress",AE66="Next 14 days")),"Add link",IF(AND(AE66="Next 14 days",V66&lt;&gt;"Published"),"Announce","")))</f>
        <v/>
      </c>
    </row>
    <row r="67" spans="1:33" x14ac:dyDescent="0.25">
      <c r="A67" s="23" t="s">
        <v>337</v>
      </c>
      <c r="B67" s="23" t="s">
        <v>19</v>
      </c>
      <c r="C67" s="23" t="s">
        <v>338</v>
      </c>
      <c r="D67" s="24" t="s">
        <v>339</v>
      </c>
      <c r="E67" s="25" t="s">
        <v>340</v>
      </c>
      <c r="F67" s="23" t="s">
        <v>335</v>
      </c>
      <c r="G67" s="26">
        <v>46419</v>
      </c>
      <c r="H67" s="26">
        <v>46419</v>
      </c>
      <c r="I67" s="23" t="s">
        <v>24</v>
      </c>
      <c r="J67" s="27">
        <f t="shared" si="16"/>
        <v>46419</v>
      </c>
      <c r="K67" s="28" t="str">
        <f t="shared" si="17"/>
        <v>Semester 2</v>
      </c>
      <c r="L67" s="28" t="str">
        <f t="shared" si="18"/>
        <v>Mon</v>
      </c>
      <c r="M67" s="23"/>
      <c r="N67" s="24" t="s">
        <v>336</v>
      </c>
      <c r="O67" s="23"/>
      <c r="P67" s="23" t="s">
        <v>213</v>
      </c>
      <c r="Q67" s="23" t="s">
        <v>90</v>
      </c>
      <c r="R67" s="23"/>
      <c r="S67" s="30"/>
      <c r="T67" s="28" t="str">
        <f t="shared" si="19"/>
        <v>Missing</v>
      </c>
      <c r="U67" s="30" t="s">
        <v>23</v>
      </c>
      <c r="V67" s="30" t="s">
        <v>92</v>
      </c>
      <c r="W67" s="30"/>
      <c r="X67" s="31"/>
      <c r="Y67" s="31"/>
      <c r="Z67" s="32" t="str">
        <f t="shared" si="20"/>
        <v/>
      </c>
      <c r="AA67" s="33"/>
      <c r="AB67" s="34"/>
      <c r="AC67" s="35"/>
      <c r="AD67" s="34"/>
      <c r="AE67" s="28" t="str">
        <f t="shared" ca="1" si="21"/>
        <v>Later</v>
      </c>
      <c r="AF67" s="28">
        <f t="shared" ca="1" si="22"/>
        <v>123</v>
      </c>
      <c r="AG67" s="28" t="str">
        <f t="shared" ca="1" si="23"/>
        <v/>
      </c>
    </row>
    <row r="68" spans="1:33" x14ac:dyDescent="0.25">
      <c r="A68" s="23" t="s">
        <v>341</v>
      </c>
      <c r="B68" s="23" t="s">
        <v>19</v>
      </c>
      <c r="C68" s="23" t="s">
        <v>342</v>
      </c>
      <c r="D68" s="24" t="s">
        <v>343</v>
      </c>
      <c r="E68" s="25" t="s">
        <v>344</v>
      </c>
      <c r="F68" s="23" t="s">
        <v>345</v>
      </c>
      <c r="G68" s="26">
        <v>46419</v>
      </c>
      <c r="H68" s="26">
        <v>46446</v>
      </c>
      <c r="I68" s="23" t="s">
        <v>346</v>
      </c>
      <c r="J68" s="27">
        <f t="shared" si="16"/>
        <v>46419</v>
      </c>
      <c r="K68" s="28" t="str">
        <f t="shared" si="17"/>
        <v>Semester 2</v>
      </c>
      <c r="L68" s="28" t="str">
        <f t="shared" si="18"/>
        <v>TBC</v>
      </c>
      <c r="M68" s="23"/>
      <c r="N68" s="24" t="s">
        <v>347</v>
      </c>
      <c r="O68" s="23"/>
      <c r="P68" s="23"/>
      <c r="Q68" s="23" t="s">
        <v>90</v>
      </c>
      <c r="R68" s="23"/>
      <c r="S68" s="30"/>
      <c r="T68" s="28" t="str">
        <f t="shared" si="19"/>
        <v>Missing</v>
      </c>
      <c r="U68" s="30" t="s">
        <v>23</v>
      </c>
      <c r="V68" s="30" t="s">
        <v>92</v>
      </c>
      <c r="W68" s="30"/>
      <c r="X68" s="31"/>
      <c r="Y68" s="31"/>
      <c r="Z68" s="32" t="str">
        <f t="shared" si="20"/>
        <v/>
      </c>
      <c r="AA68" s="33"/>
      <c r="AB68" s="34"/>
      <c r="AC68" s="35"/>
      <c r="AD68" s="34"/>
      <c r="AE68" s="28" t="str">
        <f t="shared" ca="1" si="21"/>
        <v>Later</v>
      </c>
      <c r="AF68" s="28">
        <f t="shared" ca="1" si="22"/>
        <v>123</v>
      </c>
      <c r="AG68" s="28" t="str">
        <f t="shared" ca="1" si="23"/>
        <v/>
      </c>
    </row>
    <row r="69" spans="1:33" x14ac:dyDescent="0.25">
      <c r="A69" s="23" t="s">
        <v>348</v>
      </c>
      <c r="B69" s="23" t="s">
        <v>19</v>
      </c>
      <c r="C69" s="23" t="s">
        <v>338</v>
      </c>
      <c r="D69" s="24" t="s">
        <v>349</v>
      </c>
      <c r="E69" s="25" t="s">
        <v>350</v>
      </c>
      <c r="F69" s="23" t="s">
        <v>335</v>
      </c>
      <c r="G69" s="26">
        <v>46497</v>
      </c>
      <c r="H69" s="26">
        <v>46497</v>
      </c>
      <c r="I69" s="23" t="s">
        <v>24</v>
      </c>
      <c r="J69" s="27">
        <f t="shared" si="16"/>
        <v>46478</v>
      </c>
      <c r="K69" s="28" t="str">
        <f t="shared" si="17"/>
        <v>Semester 2</v>
      </c>
      <c r="L69" s="28" t="str">
        <f t="shared" si="18"/>
        <v>Tue</v>
      </c>
      <c r="M69" s="23"/>
      <c r="N69" s="24" t="s">
        <v>336</v>
      </c>
      <c r="O69" s="23"/>
      <c r="P69" s="23"/>
      <c r="Q69" s="23" t="s">
        <v>90</v>
      </c>
      <c r="R69" s="23"/>
      <c r="S69" s="30"/>
      <c r="T69" s="28" t="str">
        <f t="shared" si="19"/>
        <v>Missing</v>
      </c>
      <c r="U69" s="30" t="s">
        <v>23</v>
      </c>
      <c r="V69" s="30" t="s">
        <v>92</v>
      </c>
      <c r="W69" s="30"/>
      <c r="X69" s="31"/>
      <c r="Y69" s="31"/>
      <c r="Z69" s="32" t="str">
        <f t="shared" si="20"/>
        <v/>
      </c>
      <c r="AA69" s="33"/>
      <c r="AB69" s="34"/>
      <c r="AC69" s="35"/>
      <c r="AD69" s="34"/>
      <c r="AE69" s="28" t="str">
        <f t="shared" ca="1" si="21"/>
        <v>Later</v>
      </c>
      <c r="AF69" s="28">
        <f t="shared" ca="1" si="22"/>
        <v>201</v>
      </c>
      <c r="AG69" s="28" t="str">
        <f t="shared" ca="1" si="23"/>
        <v/>
      </c>
    </row>
    <row r="70" spans="1:33" x14ac:dyDescent="0.25">
      <c r="A70" s="23" t="s">
        <v>351</v>
      </c>
      <c r="B70" s="23" t="s">
        <v>20</v>
      </c>
      <c r="C70" s="23" t="s">
        <v>352</v>
      </c>
      <c r="D70" s="24" t="s">
        <v>353</v>
      </c>
      <c r="E70" s="25" t="s">
        <v>354</v>
      </c>
      <c r="F70" s="23" t="s">
        <v>355</v>
      </c>
      <c r="G70" s="26">
        <v>46357</v>
      </c>
      <c r="H70" s="26">
        <v>46387</v>
      </c>
      <c r="I70" s="23" t="s">
        <v>346</v>
      </c>
      <c r="J70" s="27">
        <f t="shared" si="16"/>
        <v>46357</v>
      </c>
      <c r="K70" s="28" t="str">
        <f t="shared" si="17"/>
        <v>Semester 1</v>
      </c>
      <c r="L70" s="28" t="str">
        <f t="shared" si="18"/>
        <v>TBC</v>
      </c>
      <c r="M70" s="23"/>
      <c r="N70" s="24" t="s">
        <v>356</v>
      </c>
      <c r="O70" s="23"/>
      <c r="P70" s="23" t="s">
        <v>357</v>
      </c>
      <c r="Q70" s="23" t="s">
        <v>358</v>
      </c>
      <c r="R70" s="23"/>
      <c r="S70" s="30"/>
      <c r="T70" s="28" t="str">
        <f t="shared" si="19"/>
        <v>Missing</v>
      </c>
      <c r="U70" s="30" t="s">
        <v>23</v>
      </c>
      <c r="V70" s="30" t="s">
        <v>92</v>
      </c>
      <c r="W70" s="30"/>
      <c r="X70" s="31"/>
      <c r="Y70" s="31"/>
      <c r="Z70" s="32" t="str">
        <f t="shared" si="20"/>
        <v/>
      </c>
      <c r="AA70" s="33"/>
      <c r="AB70" s="34"/>
      <c r="AC70" s="35"/>
      <c r="AD70" s="34"/>
      <c r="AE70" s="28" t="str">
        <f t="shared" ca="1" si="21"/>
        <v>Later</v>
      </c>
      <c r="AF70" s="28">
        <f t="shared" ca="1" si="22"/>
        <v>61</v>
      </c>
      <c r="AG70" s="28" t="str">
        <f t="shared" ca="1" si="23"/>
        <v/>
      </c>
    </row>
    <row r="71" spans="1:33" ht="25.5" x14ac:dyDescent="0.25">
      <c r="A71" s="23" t="s">
        <v>359</v>
      </c>
      <c r="B71" s="23" t="s">
        <v>20</v>
      </c>
      <c r="C71" s="23" t="s">
        <v>352</v>
      </c>
      <c r="D71" s="24" t="s">
        <v>360</v>
      </c>
      <c r="E71" s="25" t="s">
        <v>361</v>
      </c>
      <c r="F71" s="23" t="s">
        <v>355</v>
      </c>
      <c r="G71" s="26">
        <v>46357</v>
      </c>
      <c r="H71" s="26">
        <v>46387</v>
      </c>
      <c r="I71" s="23" t="s">
        <v>346</v>
      </c>
      <c r="J71" s="27">
        <f t="shared" si="16"/>
        <v>46357</v>
      </c>
      <c r="K71" s="28" t="str">
        <f t="shared" si="17"/>
        <v>Semester 1</v>
      </c>
      <c r="L71" s="28" t="str">
        <f t="shared" si="18"/>
        <v>TBC</v>
      </c>
      <c r="M71" s="23"/>
      <c r="N71" s="24" t="s">
        <v>356</v>
      </c>
      <c r="O71" s="23"/>
      <c r="P71" s="23" t="s">
        <v>362</v>
      </c>
      <c r="Q71" s="23" t="s">
        <v>358</v>
      </c>
      <c r="R71" s="23"/>
      <c r="S71" s="30"/>
      <c r="T71" s="28" t="str">
        <f t="shared" si="19"/>
        <v>Missing</v>
      </c>
      <c r="U71" s="30" t="s">
        <v>23</v>
      </c>
      <c r="V71" s="30" t="s">
        <v>92</v>
      </c>
      <c r="W71" s="30"/>
      <c r="X71" s="31"/>
      <c r="Y71" s="31"/>
      <c r="Z71" s="32" t="str">
        <f t="shared" si="20"/>
        <v/>
      </c>
      <c r="AA71" s="33"/>
      <c r="AB71" s="34"/>
      <c r="AC71" s="35"/>
      <c r="AD71" s="34"/>
      <c r="AE71" s="28" t="str">
        <f t="shared" ca="1" si="21"/>
        <v>Later</v>
      </c>
      <c r="AF71" s="28">
        <f t="shared" ca="1" si="22"/>
        <v>61</v>
      </c>
      <c r="AG71" s="28" t="str">
        <f t="shared" ca="1" si="23"/>
        <v/>
      </c>
    </row>
    <row r="72" spans="1:33" x14ac:dyDescent="0.25">
      <c r="A72" s="23" t="s">
        <v>363</v>
      </c>
      <c r="B72" s="23" t="s">
        <v>20</v>
      </c>
      <c r="C72" s="23" t="s">
        <v>364</v>
      </c>
      <c r="D72" s="24" t="s">
        <v>365</v>
      </c>
      <c r="E72" s="25" t="s">
        <v>366</v>
      </c>
      <c r="F72" s="23" t="s">
        <v>367</v>
      </c>
      <c r="G72" s="26">
        <v>46388</v>
      </c>
      <c r="H72" s="26">
        <v>46418</v>
      </c>
      <c r="I72" s="23" t="s">
        <v>346</v>
      </c>
      <c r="J72" s="27">
        <f t="shared" si="16"/>
        <v>46388</v>
      </c>
      <c r="K72" s="28" t="str">
        <f t="shared" si="17"/>
        <v>Semester 1</v>
      </c>
      <c r="L72" s="28" t="str">
        <f t="shared" si="18"/>
        <v>TBC</v>
      </c>
      <c r="M72" s="23"/>
      <c r="N72" s="24" t="s">
        <v>356</v>
      </c>
      <c r="O72" s="23"/>
      <c r="P72" s="23" t="s">
        <v>368</v>
      </c>
      <c r="Q72" s="23" t="s">
        <v>358</v>
      </c>
      <c r="R72" s="23"/>
      <c r="S72" s="30"/>
      <c r="T72" s="28" t="str">
        <f t="shared" si="19"/>
        <v>Missing</v>
      </c>
      <c r="U72" s="30" t="s">
        <v>23</v>
      </c>
      <c r="V72" s="30" t="s">
        <v>92</v>
      </c>
      <c r="W72" s="30"/>
      <c r="X72" s="31"/>
      <c r="Y72" s="31"/>
      <c r="Z72" s="32" t="str">
        <f t="shared" si="20"/>
        <v/>
      </c>
      <c r="AA72" s="33"/>
      <c r="AB72" s="34"/>
      <c r="AC72" s="35"/>
      <c r="AD72" s="34"/>
      <c r="AE72" s="28" t="str">
        <f t="shared" ca="1" si="21"/>
        <v>Later</v>
      </c>
      <c r="AF72" s="28">
        <f t="shared" ca="1" si="22"/>
        <v>92</v>
      </c>
      <c r="AG72" s="28" t="str">
        <f t="shared" ca="1" si="23"/>
        <v/>
      </c>
    </row>
    <row r="73" spans="1:33" x14ac:dyDescent="0.25">
      <c r="A73" s="23" t="s">
        <v>369</v>
      </c>
      <c r="B73" s="23" t="s">
        <v>20</v>
      </c>
      <c r="C73" s="23" t="s">
        <v>370</v>
      </c>
      <c r="D73" s="24" t="s">
        <v>371</v>
      </c>
      <c r="E73" s="25" t="s">
        <v>372</v>
      </c>
      <c r="F73" s="23" t="s">
        <v>101</v>
      </c>
      <c r="G73" s="26">
        <v>46419</v>
      </c>
      <c r="H73" s="26">
        <v>46446</v>
      </c>
      <c r="I73" s="23" t="s">
        <v>346</v>
      </c>
      <c r="J73" s="27">
        <f t="shared" si="16"/>
        <v>46419</v>
      </c>
      <c r="K73" s="28" t="str">
        <f t="shared" si="17"/>
        <v>Semester 2</v>
      </c>
      <c r="L73" s="28" t="str">
        <f t="shared" si="18"/>
        <v>TBC</v>
      </c>
      <c r="M73" s="23"/>
      <c r="N73" s="24" t="s">
        <v>356</v>
      </c>
      <c r="O73" s="23"/>
      <c r="P73" s="23" t="s">
        <v>373</v>
      </c>
      <c r="Q73" s="23" t="s">
        <v>358</v>
      </c>
      <c r="R73" s="23"/>
      <c r="S73" s="30"/>
      <c r="T73" s="28" t="str">
        <f t="shared" si="19"/>
        <v>Missing</v>
      </c>
      <c r="U73" s="30" t="s">
        <v>23</v>
      </c>
      <c r="V73" s="30" t="s">
        <v>92</v>
      </c>
      <c r="W73" s="30"/>
      <c r="X73" s="31"/>
      <c r="Y73" s="31"/>
      <c r="Z73" s="32" t="str">
        <f t="shared" si="20"/>
        <v/>
      </c>
      <c r="AA73" s="33"/>
      <c r="AB73" s="34"/>
      <c r="AC73" s="35"/>
      <c r="AD73" s="34"/>
      <c r="AE73" s="28" t="str">
        <f t="shared" ca="1" si="21"/>
        <v>Later</v>
      </c>
      <c r="AF73" s="28">
        <f t="shared" ca="1" si="22"/>
        <v>123</v>
      </c>
      <c r="AG73" s="28" t="str">
        <f t="shared" ca="1" si="23"/>
        <v/>
      </c>
    </row>
    <row r="74" spans="1:33" x14ac:dyDescent="0.25">
      <c r="A74" s="23" t="s">
        <v>374</v>
      </c>
      <c r="B74" s="23" t="s">
        <v>20</v>
      </c>
      <c r="C74" s="23" t="s">
        <v>375</v>
      </c>
      <c r="D74" s="24" t="s">
        <v>376</v>
      </c>
      <c r="E74" s="25" t="s">
        <v>377</v>
      </c>
      <c r="F74" s="23" t="s">
        <v>378</v>
      </c>
      <c r="G74" s="26">
        <v>46447</v>
      </c>
      <c r="H74" s="26">
        <v>46477</v>
      </c>
      <c r="I74" s="23" t="s">
        <v>346</v>
      </c>
      <c r="J74" s="27">
        <f t="shared" si="16"/>
        <v>46447</v>
      </c>
      <c r="K74" s="28" t="str">
        <f t="shared" si="17"/>
        <v>Semester 2</v>
      </c>
      <c r="L74" s="28" t="str">
        <f t="shared" si="18"/>
        <v>TBC</v>
      </c>
      <c r="M74" s="23"/>
      <c r="N74" s="24" t="s">
        <v>356</v>
      </c>
      <c r="O74" s="23"/>
      <c r="P74" s="23" t="s">
        <v>379</v>
      </c>
      <c r="Q74" s="23" t="s">
        <v>358</v>
      </c>
      <c r="R74" s="23"/>
      <c r="S74" s="30"/>
      <c r="T74" s="28" t="str">
        <f t="shared" si="19"/>
        <v>Missing</v>
      </c>
      <c r="U74" s="30" t="s">
        <v>23</v>
      </c>
      <c r="V74" s="30" t="s">
        <v>92</v>
      </c>
      <c r="W74" s="30"/>
      <c r="X74" s="31"/>
      <c r="Y74" s="31"/>
      <c r="Z74" s="32" t="str">
        <f t="shared" si="20"/>
        <v/>
      </c>
      <c r="AA74" s="33"/>
      <c r="AB74" s="34"/>
      <c r="AC74" s="35"/>
      <c r="AD74" s="34"/>
      <c r="AE74" s="28" t="str">
        <f t="shared" ca="1" si="21"/>
        <v>Later</v>
      </c>
      <c r="AF74" s="28">
        <f t="shared" ca="1" si="22"/>
        <v>151</v>
      </c>
      <c r="AG74" s="28" t="str">
        <f t="shared" ca="1" si="23"/>
        <v/>
      </c>
    </row>
    <row r="75" spans="1:33" x14ac:dyDescent="0.25">
      <c r="A75" s="23" t="s">
        <v>380</v>
      </c>
      <c r="B75" s="23" t="s">
        <v>20</v>
      </c>
      <c r="C75" s="23" t="s">
        <v>375</v>
      </c>
      <c r="D75" s="24" t="s">
        <v>381</v>
      </c>
      <c r="E75" s="25" t="s">
        <v>382</v>
      </c>
      <c r="F75" s="23" t="s">
        <v>378</v>
      </c>
      <c r="G75" s="26">
        <v>46447</v>
      </c>
      <c r="H75" s="26">
        <v>46477</v>
      </c>
      <c r="I75" s="23" t="s">
        <v>346</v>
      </c>
      <c r="J75" s="27">
        <f t="shared" si="16"/>
        <v>46447</v>
      </c>
      <c r="K75" s="28" t="str">
        <f t="shared" si="17"/>
        <v>Semester 2</v>
      </c>
      <c r="L75" s="28" t="str">
        <f t="shared" si="18"/>
        <v>TBC</v>
      </c>
      <c r="M75" s="23"/>
      <c r="N75" s="24" t="s">
        <v>356</v>
      </c>
      <c r="O75" s="23"/>
      <c r="P75" s="23" t="s">
        <v>383</v>
      </c>
      <c r="Q75" s="23" t="s">
        <v>358</v>
      </c>
      <c r="R75" s="23"/>
      <c r="S75" s="30"/>
      <c r="T75" s="28" t="str">
        <f t="shared" si="19"/>
        <v>Missing</v>
      </c>
      <c r="U75" s="30" t="s">
        <v>23</v>
      </c>
      <c r="V75" s="30" t="s">
        <v>92</v>
      </c>
      <c r="W75" s="30"/>
      <c r="X75" s="31"/>
      <c r="Y75" s="31"/>
      <c r="Z75" s="32" t="str">
        <f t="shared" si="20"/>
        <v/>
      </c>
      <c r="AA75" s="33"/>
      <c r="AB75" s="34"/>
      <c r="AC75" s="35"/>
      <c r="AD75" s="34"/>
      <c r="AE75" s="28" t="str">
        <f t="shared" ca="1" si="21"/>
        <v>Later</v>
      </c>
      <c r="AF75" s="28">
        <f t="shared" ca="1" si="22"/>
        <v>151</v>
      </c>
      <c r="AG75" s="28" t="str">
        <f t="shared" ca="1" si="23"/>
        <v/>
      </c>
    </row>
    <row r="76" spans="1:33" x14ac:dyDescent="0.25">
      <c r="A76" s="23" t="s">
        <v>384</v>
      </c>
      <c r="B76" s="23" t="s">
        <v>20</v>
      </c>
      <c r="C76" s="23" t="s">
        <v>352</v>
      </c>
      <c r="D76" s="24" t="s">
        <v>385</v>
      </c>
      <c r="E76" s="25" t="s">
        <v>386</v>
      </c>
      <c r="F76" s="23" t="s">
        <v>355</v>
      </c>
      <c r="G76" s="26">
        <v>46478</v>
      </c>
      <c r="H76" s="26">
        <v>46507</v>
      </c>
      <c r="I76" s="23" t="s">
        <v>346</v>
      </c>
      <c r="J76" s="27">
        <f t="shared" si="16"/>
        <v>46478</v>
      </c>
      <c r="K76" s="28" t="str">
        <f t="shared" si="17"/>
        <v>Semester 2</v>
      </c>
      <c r="L76" s="28" t="str">
        <f t="shared" si="18"/>
        <v>TBC</v>
      </c>
      <c r="M76" s="23"/>
      <c r="N76" s="24" t="s">
        <v>356</v>
      </c>
      <c r="O76" s="23"/>
      <c r="P76" s="23" t="s">
        <v>224</v>
      </c>
      <c r="Q76" s="23" t="s">
        <v>358</v>
      </c>
      <c r="R76" s="23"/>
      <c r="S76" s="30"/>
      <c r="T76" s="28" t="str">
        <f t="shared" si="19"/>
        <v>Missing</v>
      </c>
      <c r="U76" s="30" t="s">
        <v>23</v>
      </c>
      <c r="V76" s="30" t="s">
        <v>92</v>
      </c>
      <c r="W76" s="30"/>
      <c r="X76" s="31"/>
      <c r="Y76" s="31"/>
      <c r="Z76" s="32" t="str">
        <f t="shared" si="20"/>
        <v/>
      </c>
      <c r="AA76" s="33"/>
      <c r="AB76" s="34"/>
      <c r="AC76" s="35"/>
      <c r="AD76" s="34"/>
      <c r="AE76" s="28" t="str">
        <f t="shared" ca="1" si="21"/>
        <v>Later</v>
      </c>
      <c r="AF76" s="28">
        <f t="shared" ca="1" si="22"/>
        <v>182</v>
      </c>
      <c r="AG76" s="28" t="str">
        <f t="shared" ca="1" si="23"/>
        <v/>
      </c>
    </row>
    <row r="77" spans="1:33" x14ac:dyDescent="0.25">
      <c r="A77" s="23" t="s">
        <v>387</v>
      </c>
      <c r="B77" s="23" t="s">
        <v>20</v>
      </c>
      <c r="C77" s="23" t="s">
        <v>352</v>
      </c>
      <c r="D77" s="24" t="s">
        <v>388</v>
      </c>
      <c r="E77" s="25" t="s">
        <v>389</v>
      </c>
      <c r="F77" s="23" t="s">
        <v>355</v>
      </c>
      <c r="G77" s="26">
        <v>46478</v>
      </c>
      <c r="H77" s="26">
        <v>46507</v>
      </c>
      <c r="I77" s="23" t="s">
        <v>346</v>
      </c>
      <c r="J77" s="27">
        <f t="shared" si="16"/>
        <v>46478</v>
      </c>
      <c r="K77" s="28" t="str">
        <f t="shared" si="17"/>
        <v>Semester 2</v>
      </c>
      <c r="L77" s="28" t="str">
        <f t="shared" si="18"/>
        <v>TBC</v>
      </c>
      <c r="M77" s="23"/>
      <c r="N77" s="24" t="s">
        <v>356</v>
      </c>
      <c r="O77" s="23"/>
      <c r="P77" s="23" t="s">
        <v>390</v>
      </c>
      <c r="Q77" s="23" t="s">
        <v>358</v>
      </c>
      <c r="R77" s="23"/>
      <c r="S77" s="30"/>
      <c r="T77" s="28" t="str">
        <f t="shared" si="19"/>
        <v>Missing</v>
      </c>
      <c r="U77" s="30" t="s">
        <v>23</v>
      </c>
      <c r="V77" s="30" t="s">
        <v>92</v>
      </c>
      <c r="W77" s="30"/>
      <c r="X77" s="31"/>
      <c r="Y77" s="31"/>
      <c r="Z77" s="32" t="str">
        <f t="shared" si="20"/>
        <v/>
      </c>
      <c r="AA77" s="33"/>
      <c r="AB77" s="34"/>
      <c r="AC77" s="35"/>
      <c r="AD77" s="34"/>
      <c r="AE77" s="28" t="str">
        <f t="shared" ca="1" si="21"/>
        <v>Later</v>
      </c>
      <c r="AF77" s="28">
        <f t="shared" ca="1" si="22"/>
        <v>182</v>
      </c>
      <c r="AG77" s="28" t="str">
        <f t="shared" ca="1" si="23"/>
        <v/>
      </c>
    </row>
    <row r="78" spans="1:33" x14ac:dyDescent="0.25">
      <c r="A78" s="23" t="s">
        <v>391</v>
      </c>
      <c r="B78" s="23" t="s">
        <v>20</v>
      </c>
      <c r="C78" s="23" t="s">
        <v>375</v>
      </c>
      <c r="D78" s="24" t="s">
        <v>392</v>
      </c>
      <c r="E78" s="25" t="s">
        <v>393</v>
      </c>
      <c r="F78" s="23" t="s">
        <v>378</v>
      </c>
      <c r="G78" s="26">
        <v>46478</v>
      </c>
      <c r="H78" s="26">
        <v>46507</v>
      </c>
      <c r="I78" s="23" t="s">
        <v>346</v>
      </c>
      <c r="J78" s="27">
        <f t="shared" si="16"/>
        <v>46478</v>
      </c>
      <c r="K78" s="28" t="str">
        <f t="shared" si="17"/>
        <v>Semester 2</v>
      </c>
      <c r="L78" s="28" t="str">
        <f t="shared" si="18"/>
        <v>TBC</v>
      </c>
      <c r="M78" s="23"/>
      <c r="N78" s="24" t="s">
        <v>356</v>
      </c>
      <c r="O78" s="23"/>
      <c r="P78" s="23" t="s">
        <v>213</v>
      </c>
      <c r="Q78" s="23" t="s">
        <v>358</v>
      </c>
      <c r="R78" s="23"/>
      <c r="S78" s="30"/>
      <c r="T78" s="28" t="str">
        <f t="shared" si="19"/>
        <v>Missing</v>
      </c>
      <c r="U78" s="30" t="s">
        <v>23</v>
      </c>
      <c r="V78" s="30" t="s">
        <v>92</v>
      </c>
      <c r="W78" s="30"/>
      <c r="X78" s="31"/>
      <c r="Y78" s="31"/>
      <c r="Z78" s="32" t="str">
        <f t="shared" si="20"/>
        <v/>
      </c>
      <c r="AA78" s="33"/>
      <c r="AB78" s="34"/>
      <c r="AC78" s="35"/>
      <c r="AD78" s="34"/>
      <c r="AE78" s="28" t="str">
        <f t="shared" ca="1" si="21"/>
        <v>Later</v>
      </c>
      <c r="AF78" s="28">
        <f t="shared" ca="1" si="22"/>
        <v>182</v>
      </c>
      <c r="AG78" s="28" t="str">
        <f t="shared" ca="1" si="23"/>
        <v/>
      </c>
    </row>
    <row r="79" spans="1:33" x14ac:dyDescent="0.25">
      <c r="A79" s="23" t="s">
        <v>394</v>
      </c>
      <c r="B79" s="23" t="s">
        <v>20</v>
      </c>
      <c r="C79" s="23" t="s">
        <v>364</v>
      </c>
      <c r="D79" s="24" t="s">
        <v>395</v>
      </c>
      <c r="E79" s="25" t="s">
        <v>396</v>
      </c>
      <c r="F79" s="23" t="s">
        <v>378</v>
      </c>
      <c r="G79" s="26">
        <v>46489</v>
      </c>
      <c r="H79" s="26">
        <v>46490</v>
      </c>
      <c r="I79" s="23" t="s">
        <v>24</v>
      </c>
      <c r="J79" s="27">
        <f t="shared" si="16"/>
        <v>46478</v>
      </c>
      <c r="K79" s="28" t="str">
        <f t="shared" si="17"/>
        <v>Semester 2</v>
      </c>
      <c r="L79" s="28" t="str">
        <f t="shared" si="18"/>
        <v>Mon</v>
      </c>
      <c r="M79" s="23"/>
      <c r="N79" s="24" t="s">
        <v>356</v>
      </c>
      <c r="O79" s="23"/>
      <c r="P79" s="23" t="s">
        <v>139</v>
      </c>
      <c r="Q79" s="23" t="s">
        <v>358</v>
      </c>
      <c r="R79" s="23"/>
      <c r="S79" s="30"/>
      <c r="T79" s="28" t="str">
        <f t="shared" si="19"/>
        <v>Missing</v>
      </c>
      <c r="U79" s="30" t="s">
        <v>23</v>
      </c>
      <c r="V79" s="30" t="s">
        <v>92</v>
      </c>
      <c r="W79" s="30"/>
      <c r="X79" s="31"/>
      <c r="Y79" s="31"/>
      <c r="Z79" s="32" t="str">
        <f t="shared" si="20"/>
        <v/>
      </c>
      <c r="AA79" s="33"/>
      <c r="AB79" s="34"/>
      <c r="AC79" s="35"/>
      <c r="AD79" s="34"/>
      <c r="AE79" s="28" t="str">
        <f t="shared" ca="1" si="21"/>
        <v>Later</v>
      </c>
      <c r="AF79" s="28">
        <f t="shared" ca="1" si="22"/>
        <v>193</v>
      </c>
      <c r="AG79" s="28" t="str">
        <f t="shared" ca="1" si="23"/>
        <v/>
      </c>
    </row>
    <row r="80" spans="1:33" x14ac:dyDescent="0.25">
      <c r="A80" s="23" t="s">
        <v>397</v>
      </c>
      <c r="B80" s="23" t="s">
        <v>20</v>
      </c>
      <c r="C80" s="23" t="s">
        <v>364</v>
      </c>
      <c r="D80" s="24" t="s">
        <v>398</v>
      </c>
      <c r="E80" s="25" t="s">
        <v>399</v>
      </c>
      <c r="F80" s="23" t="s">
        <v>367</v>
      </c>
      <c r="G80" s="26">
        <v>46508</v>
      </c>
      <c r="H80" s="26">
        <v>46538</v>
      </c>
      <c r="I80" s="23" t="s">
        <v>346</v>
      </c>
      <c r="J80" s="27">
        <f t="shared" si="16"/>
        <v>46508</v>
      </c>
      <c r="K80" s="28" t="str">
        <f t="shared" si="17"/>
        <v>Semester 2</v>
      </c>
      <c r="L80" s="28" t="str">
        <f t="shared" si="18"/>
        <v>TBC</v>
      </c>
      <c r="M80" s="23"/>
      <c r="N80" s="24" t="s">
        <v>356</v>
      </c>
      <c r="O80" s="23"/>
      <c r="P80" s="23" t="s">
        <v>368</v>
      </c>
      <c r="Q80" s="23" t="s">
        <v>358</v>
      </c>
      <c r="R80" s="23"/>
      <c r="S80" s="30"/>
      <c r="T80" s="28" t="str">
        <f t="shared" si="19"/>
        <v>Missing</v>
      </c>
      <c r="U80" s="30" t="s">
        <v>23</v>
      </c>
      <c r="V80" s="30" t="s">
        <v>92</v>
      </c>
      <c r="W80" s="30"/>
      <c r="X80" s="31"/>
      <c r="Y80" s="31"/>
      <c r="Z80" s="32" t="str">
        <f t="shared" si="20"/>
        <v/>
      </c>
      <c r="AA80" s="33"/>
      <c r="AB80" s="34"/>
      <c r="AC80" s="35"/>
      <c r="AD80" s="34"/>
      <c r="AE80" s="28" t="str">
        <f t="shared" ca="1" si="21"/>
        <v>Later</v>
      </c>
      <c r="AF80" s="28">
        <f t="shared" ca="1" si="22"/>
        <v>212</v>
      </c>
      <c r="AG80" s="28" t="str">
        <f t="shared" ca="1" si="23"/>
        <v/>
      </c>
    </row>
    <row r="81" spans="1:33" x14ac:dyDescent="0.25">
      <c r="A81" s="23" t="s">
        <v>400</v>
      </c>
      <c r="B81" s="23" t="s">
        <v>20</v>
      </c>
      <c r="C81" s="23" t="s">
        <v>375</v>
      </c>
      <c r="D81" s="24" t="s">
        <v>401</v>
      </c>
      <c r="E81" s="25" t="s">
        <v>402</v>
      </c>
      <c r="F81" s="23" t="s">
        <v>378</v>
      </c>
      <c r="G81" s="26">
        <v>46508</v>
      </c>
      <c r="H81" s="26">
        <v>46538</v>
      </c>
      <c r="I81" s="23" t="s">
        <v>346</v>
      </c>
      <c r="J81" s="27">
        <f t="shared" si="16"/>
        <v>46508</v>
      </c>
      <c r="K81" s="28" t="str">
        <f t="shared" si="17"/>
        <v>Semester 2</v>
      </c>
      <c r="L81" s="28" t="str">
        <f t="shared" si="18"/>
        <v>TBC</v>
      </c>
      <c r="M81" s="23"/>
      <c r="N81" s="24" t="s">
        <v>356</v>
      </c>
      <c r="O81" s="23"/>
      <c r="P81" s="23" t="s">
        <v>403</v>
      </c>
      <c r="Q81" s="23" t="s">
        <v>358</v>
      </c>
      <c r="R81" s="23"/>
      <c r="S81" s="30"/>
      <c r="T81" s="28" t="str">
        <f t="shared" si="19"/>
        <v>Missing</v>
      </c>
      <c r="U81" s="30" t="s">
        <v>23</v>
      </c>
      <c r="V81" s="30" t="s">
        <v>92</v>
      </c>
      <c r="W81" s="30"/>
      <c r="X81" s="31"/>
      <c r="Y81" s="31"/>
      <c r="Z81" s="32" t="str">
        <f t="shared" si="20"/>
        <v/>
      </c>
      <c r="AA81" s="33"/>
      <c r="AB81" s="34"/>
      <c r="AC81" s="35"/>
      <c r="AD81" s="34"/>
      <c r="AE81" s="28" t="str">
        <f t="shared" ca="1" si="21"/>
        <v>Later</v>
      </c>
      <c r="AF81" s="28">
        <f t="shared" ca="1" si="22"/>
        <v>212</v>
      </c>
      <c r="AG81" s="28" t="str">
        <f t="shared" ca="1" si="23"/>
        <v/>
      </c>
    </row>
  </sheetData>
  <conditionalFormatting sqref="U2:U400">
    <cfRule type="cellIs" dxfId="13" priority="2" operator="equal">
      <formula>"Delivered"</formula>
    </cfRule>
    <cfRule type="cellIs" dxfId="12" priority="3" operator="equal">
      <formula>"Registration Open"</formula>
    </cfRule>
    <cfRule type="cellIs" dxfId="11" priority="4" operator="equal">
      <formula>"Confirmed"</formula>
    </cfRule>
    <cfRule type="cellIs" dxfId="10" priority="5" operator="equal">
      <formula>"Postponed"</formula>
    </cfRule>
    <cfRule type="cellIs" dxfId="9" priority="6" operator="equal">
      <formula>"Cancelled"</formula>
    </cfRule>
  </conditionalFormatting>
  <conditionalFormatting sqref="T2:T400">
    <cfRule type="cellIs" dxfId="8" priority="7" operator="equal">
      <formula>"Missing"</formula>
    </cfRule>
    <cfRule type="cellIs" dxfId="7" priority="8" operator="equal">
      <formula>"Published"</formula>
    </cfRule>
  </conditionalFormatting>
  <conditionalFormatting sqref="V2:V400">
    <cfRule type="cellIs" dxfId="6" priority="9" operator="equal">
      <formula>"Published"</formula>
    </cfRule>
  </conditionalFormatting>
  <conditionalFormatting sqref="AE2:AE400">
    <cfRule type="cellIs" dxfId="5" priority="10" operator="equal">
      <formula>"Next 14 days"</formula>
    </cfRule>
    <cfRule type="cellIs" dxfId="4" priority="11" operator="equal">
      <formula>"In progress"</formula>
    </cfRule>
    <cfRule type="cellIs" dxfId="3" priority="12" operator="equal">
      <formula>"Past"</formula>
    </cfRule>
  </conditionalFormatting>
  <conditionalFormatting sqref="AG2:AG400">
    <cfRule type="cellIs" dxfId="2" priority="13" operator="equal">
      <formula>"Update status"</formula>
    </cfRule>
    <cfRule type="cellIs" dxfId="1" priority="14" operator="equal">
      <formula>"Add link"</formula>
    </cfRule>
    <cfRule type="cellIs" dxfId="0" priority="15" operator="equal">
      <formula>"Announce"</formula>
    </cfRule>
  </conditionalFormatting>
  <dataValidations count="2">
    <dataValidation type="whole" operator="greaterThanOrEqual" allowBlank="1" sqref="X2:Y400" xr:uid="{00000000-0002-0000-0200-000006000000}">
      <formula1>0</formula1>
      <formula2>0</formula2>
    </dataValidation>
    <dataValidation type="decimal" allowBlank="1" showInputMessage="1" prompt="Enter as a percentage, e.g. 92%" sqref="AA2:AA400" xr:uid="{00000000-0002-0000-0200-000007000000}">
      <formula1>0</formula1>
      <formula2>1</formula2>
    </dataValidation>
  </dataValidations>
  <hyperlinks>
    <hyperlink ref="S2" r:id="rId1" xr:uid="{00000000-0004-0000-0200-000000000000}"/>
    <hyperlink ref="S4" r:id="rId2" xr:uid="{00000000-0004-0000-0200-000001000000}"/>
    <hyperlink ref="S15" r:id="rId3" xr:uid="{00000000-0004-0000-0200-000002000000}"/>
    <hyperlink ref="S16" r:id="rId4" xr:uid="{00000000-0004-0000-0200-000003000000}"/>
    <hyperlink ref="S17" r:id="rId5" xr:uid="{00000000-0004-0000-0200-000004000000}"/>
    <hyperlink ref="S18" r:id="rId6" xr:uid="{00000000-0004-0000-0200-000005000000}"/>
    <hyperlink ref="S19" r:id="rId7" xr:uid="{00000000-0004-0000-0200-000006000000}"/>
    <hyperlink ref="S20" r:id="rId8" xr:uid="{00000000-0004-0000-0200-000007000000}"/>
    <hyperlink ref="S21" r:id="rId9" xr:uid="{00000000-0004-0000-0200-000008000000}"/>
    <hyperlink ref="S22" r:id="rId10" xr:uid="{00000000-0004-0000-0200-000009000000}"/>
    <hyperlink ref="S23" r:id="rId11" xr:uid="{00000000-0004-0000-0200-00000A000000}"/>
    <hyperlink ref="S24" r:id="rId12" xr:uid="{00000000-0004-0000-0200-00000B000000}"/>
    <hyperlink ref="S25" r:id="rId13" xr:uid="{00000000-0004-0000-0200-00000C000000}"/>
    <hyperlink ref="S26" r:id="rId14" xr:uid="{00000000-0004-0000-0200-00000D000000}"/>
    <hyperlink ref="S27" r:id="rId15" xr:uid="{00000000-0004-0000-0200-00000E000000}"/>
    <hyperlink ref="S28" r:id="rId16" xr:uid="{00000000-0004-0000-0200-00000F000000}"/>
    <hyperlink ref="S29" r:id="rId17" xr:uid="{00000000-0004-0000-0200-000010000000}"/>
    <hyperlink ref="S30" r:id="rId18" xr:uid="{00000000-0004-0000-0200-000011000000}"/>
    <hyperlink ref="S31" r:id="rId19" xr:uid="{00000000-0004-0000-0200-000012000000}"/>
    <hyperlink ref="S32" r:id="rId20" xr:uid="{00000000-0004-0000-0200-000013000000}"/>
    <hyperlink ref="S33" r:id="rId21" xr:uid="{00000000-0004-0000-0200-000014000000}"/>
    <hyperlink ref="S34" r:id="rId22" xr:uid="{00000000-0004-0000-0200-000015000000}"/>
    <hyperlink ref="S35" r:id="rId23" xr:uid="{00000000-0004-0000-0200-000016000000}"/>
    <hyperlink ref="S36" r:id="rId24" xr:uid="{00000000-0004-0000-0200-000017000000}"/>
    <hyperlink ref="S37" r:id="rId25" xr:uid="{00000000-0004-0000-0200-000018000000}"/>
    <hyperlink ref="S39" r:id="rId26" xr:uid="{00000000-0004-0000-0200-000019000000}"/>
    <hyperlink ref="S40" r:id="rId27" xr:uid="{00000000-0004-0000-0200-00001A000000}"/>
    <hyperlink ref="S41" r:id="rId28" xr:uid="{00000000-0004-0000-0200-00001B000000}"/>
    <hyperlink ref="S43" r:id="rId29" xr:uid="{00000000-0004-0000-0200-00001C000000}"/>
    <hyperlink ref="S44" r:id="rId30" xr:uid="{00000000-0004-0000-0200-00001D000000}"/>
    <hyperlink ref="S45" r:id="rId31" xr:uid="{00000000-0004-0000-0200-00001E000000}"/>
    <hyperlink ref="S46" r:id="rId32" xr:uid="{00000000-0004-0000-0200-00001F000000}"/>
    <hyperlink ref="S3" r:id="rId33" xr:uid="{B3CA374B-7956-48CF-A199-4F58E1D1E4FA}"/>
  </hyperlinks>
  <pageMargins left="0.75" right="0.75" top="1" bottom="1" header="0.511811023622047" footer="0.511811023622047"/>
  <pageSetup paperSize="9" orientation="portrait" horizontalDpi="300" verticalDpi="300"/>
  <tableParts count="1">
    <tablePart r:id="rId34"/>
  </tableParts>
  <extLst>
    <ext xmlns:x14="http://schemas.microsoft.com/office/spreadsheetml/2009/9/main" uri="{CCE6A557-97BC-4b89-ADB6-D9C93CAAB3DF}">
      <x14:dataValidations xmlns:xm="http://schemas.microsoft.com/office/excel/2006/main" count="6">
        <x14:dataValidation type="list" allowBlank="1" showErrorMessage="1" error="Pick a value from the list (edit the Lists sheet to add options)." xr:uid="{00000000-0002-0000-0200-000000000000}">
          <x14:formula1>
            <xm:f>Lists!$A$2:$A$6</xm:f>
          </x14:formula1>
          <x14:formula2>
            <xm:f>0</xm:f>
          </x14:formula2>
          <xm:sqref>B2:B400</xm:sqref>
        </x14:dataValidation>
        <x14:dataValidation type="list" allowBlank="1" showErrorMessage="1" error="Pick a value from the list (edit the Lists sheet to add options)." xr:uid="{00000000-0002-0000-0200-000001000000}">
          <x14:formula1>
            <xm:f>Lists!$B$2:$B$7</xm:f>
          </x14:formula1>
          <x14:formula2>
            <xm:f>0</xm:f>
          </x14:formula2>
          <xm:sqref>U2:U400</xm:sqref>
        </x14:dataValidation>
        <x14:dataValidation type="list" allowBlank="1" showErrorMessage="1" error="Pick a value from the list (edit the Lists sheet to add options)." xr:uid="{00000000-0002-0000-0200-000002000000}">
          <x14:formula1>
            <xm:f>Lists!$C$2:$C$6</xm:f>
          </x14:formula1>
          <x14:formula2>
            <xm:f>0</xm:f>
          </x14:formula2>
          <xm:sqref>V2:V400</xm:sqref>
        </x14:dataValidation>
        <x14:dataValidation type="list" allowBlank="1" showErrorMessage="1" error="Pick a value from the list (edit the Lists sheet to add options)." xr:uid="{00000000-0002-0000-0200-000003000000}">
          <x14:formula1>
            <xm:f>Lists!$D$2:$D$4</xm:f>
          </x14:formula1>
          <x14:formula2>
            <xm:f>0</xm:f>
          </x14:formula2>
          <xm:sqref>I2:I400</xm:sqref>
        </x14:dataValidation>
        <x14:dataValidation type="list" allowBlank="1" showErrorMessage="1" error="Pick a value from the list (edit the Lists sheet to add options)." xr:uid="{00000000-0002-0000-0200-000004000000}">
          <x14:formula1>
            <xm:f>Lists!$E$2:$E$4</xm:f>
          </x14:formula1>
          <x14:formula2>
            <xm:f>0</xm:f>
          </x14:formula2>
          <xm:sqref>Q2:Q400</xm:sqref>
        </x14:dataValidation>
        <x14:dataValidation type="list" allowBlank="1" showErrorMessage="1" error="Pick a value from the list (edit the Lists sheet to add options)." xr:uid="{00000000-0002-0000-0200-000005000000}">
          <x14:formula1>
            <xm:f>Lists!$F$2:$F$5</xm:f>
          </x14:formula1>
          <x14:formula2>
            <xm:f>0</xm:f>
          </x14:formula2>
          <xm:sqref>R2:R400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zoomScaleNormal="100" workbookViewId="0"/>
  </sheetViews>
  <sheetFormatPr defaultColWidth="8.7109375" defaultRowHeight="15" x14ac:dyDescent="0.25"/>
  <cols>
    <col min="1" max="6" width="24" customWidth="1"/>
  </cols>
  <sheetData>
    <row r="1" spans="1:6" x14ac:dyDescent="0.25">
      <c r="A1" s="36" t="s">
        <v>3</v>
      </c>
      <c r="B1" s="36" t="s">
        <v>42</v>
      </c>
      <c r="C1" s="36" t="s">
        <v>73</v>
      </c>
      <c r="D1" s="36" t="s">
        <v>44</v>
      </c>
      <c r="E1" s="36" t="s">
        <v>70</v>
      </c>
      <c r="F1" s="36" t="s">
        <v>71</v>
      </c>
    </row>
    <row r="2" spans="1:6" x14ac:dyDescent="0.25">
      <c r="A2" s="37" t="s">
        <v>16</v>
      </c>
      <c r="B2" s="37" t="s">
        <v>23</v>
      </c>
      <c r="C2" s="37" t="s">
        <v>92</v>
      </c>
      <c r="D2" s="37" t="s">
        <v>24</v>
      </c>
      <c r="E2" s="37" t="s">
        <v>90</v>
      </c>
      <c r="F2" s="37" t="s">
        <v>214</v>
      </c>
    </row>
    <row r="3" spans="1:6" x14ac:dyDescent="0.25">
      <c r="A3" s="37" t="s">
        <v>17</v>
      </c>
      <c r="B3" s="37" t="s">
        <v>24</v>
      </c>
      <c r="C3" s="37" t="s">
        <v>404</v>
      </c>
      <c r="D3" s="37" t="s">
        <v>346</v>
      </c>
      <c r="E3" s="37" t="s">
        <v>358</v>
      </c>
      <c r="F3" s="37" t="s">
        <v>231</v>
      </c>
    </row>
    <row r="4" spans="1:6" x14ac:dyDescent="0.25">
      <c r="A4" s="37" t="s">
        <v>18</v>
      </c>
      <c r="B4" s="37" t="s">
        <v>25</v>
      </c>
      <c r="C4" s="37" t="s">
        <v>405</v>
      </c>
      <c r="D4" s="37" t="s">
        <v>406</v>
      </c>
      <c r="E4" s="37" t="s">
        <v>407</v>
      </c>
      <c r="F4" s="37" t="s">
        <v>260</v>
      </c>
    </row>
    <row r="5" spans="1:6" x14ac:dyDescent="0.25">
      <c r="A5" s="37" t="s">
        <v>19</v>
      </c>
      <c r="B5" s="37" t="s">
        <v>10</v>
      </c>
      <c r="C5" s="37" t="s">
        <v>408</v>
      </c>
      <c r="F5" s="37" t="s">
        <v>409</v>
      </c>
    </row>
    <row r="6" spans="1:6" x14ac:dyDescent="0.25">
      <c r="A6" s="37" t="s">
        <v>20</v>
      </c>
      <c r="B6" s="37" t="s">
        <v>26</v>
      </c>
      <c r="C6" s="37" t="s">
        <v>410</v>
      </c>
    </row>
    <row r="7" spans="1:6" x14ac:dyDescent="0.25">
      <c r="B7" s="37" t="s">
        <v>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sheetViews>
  <sheetFormatPr defaultColWidth="8.7109375" defaultRowHeight="15" x14ac:dyDescent="0.25"/>
  <cols>
    <col min="1" max="2" width="13" customWidth="1"/>
    <col min="3" max="4" width="30" customWidth="1"/>
    <col min="5" max="5" width="14" customWidth="1"/>
    <col min="6" max="6" width="8" customWidth="1"/>
  </cols>
  <sheetData>
    <row r="1" spans="1:6" x14ac:dyDescent="0.25">
      <c r="A1" s="36" t="s">
        <v>411</v>
      </c>
      <c r="B1" s="36" t="s">
        <v>412</v>
      </c>
      <c r="C1" s="36" t="s">
        <v>413</v>
      </c>
      <c r="D1" s="36" t="s">
        <v>414</v>
      </c>
      <c r="E1" s="36" t="s">
        <v>415</v>
      </c>
      <c r="F1" s="36" t="s">
        <v>416</v>
      </c>
    </row>
    <row r="2" spans="1:6" x14ac:dyDescent="0.25">
      <c r="A2" s="38">
        <v>46288</v>
      </c>
      <c r="B2" s="38">
        <v>46291</v>
      </c>
      <c r="C2" s="6" t="s">
        <v>417</v>
      </c>
      <c r="D2" s="39" t="s">
        <v>418</v>
      </c>
      <c r="E2" s="6" t="s">
        <v>213</v>
      </c>
      <c r="F2" s="6">
        <f t="shared" ref="F2:F11" si="0">B2-A2+1</f>
        <v>4</v>
      </c>
    </row>
    <row r="3" spans="1:6" x14ac:dyDescent="0.25">
      <c r="A3" s="38">
        <v>46346</v>
      </c>
      <c r="B3" s="38">
        <v>46354</v>
      </c>
      <c r="C3" s="6" t="s">
        <v>419</v>
      </c>
      <c r="D3" s="39" t="s">
        <v>420</v>
      </c>
      <c r="E3" s="6" t="s">
        <v>213</v>
      </c>
      <c r="F3" s="6">
        <f t="shared" si="0"/>
        <v>9</v>
      </c>
    </row>
    <row r="4" spans="1:6" x14ac:dyDescent="0.25">
      <c r="A4" s="38">
        <v>46389</v>
      </c>
      <c r="B4" s="38">
        <v>46395</v>
      </c>
      <c r="C4" s="6" t="s">
        <v>421</v>
      </c>
      <c r="D4" s="39" t="s">
        <v>422</v>
      </c>
      <c r="E4" s="6" t="s">
        <v>224</v>
      </c>
      <c r="F4" s="6">
        <f t="shared" si="0"/>
        <v>7</v>
      </c>
    </row>
    <row r="5" spans="1:6" x14ac:dyDescent="0.25">
      <c r="A5" s="38">
        <v>46395</v>
      </c>
      <c r="B5" s="38">
        <v>46403</v>
      </c>
      <c r="C5" s="6" t="s">
        <v>423</v>
      </c>
      <c r="D5" s="39" t="s">
        <v>424</v>
      </c>
      <c r="E5" s="6" t="s">
        <v>213</v>
      </c>
      <c r="F5" s="6">
        <f t="shared" si="0"/>
        <v>9</v>
      </c>
    </row>
    <row r="6" spans="1:6" x14ac:dyDescent="0.25">
      <c r="A6" s="38">
        <v>46396</v>
      </c>
      <c r="B6" s="38">
        <v>46408</v>
      </c>
      <c r="C6" s="6" t="s">
        <v>425</v>
      </c>
      <c r="D6" s="39" t="s">
        <v>426</v>
      </c>
      <c r="E6" s="6" t="s">
        <v>224</v>
      </c>
      <c r="F6" s="6">
        <f t="shared" si="0"/>
        <v>13</v>
      </c>
    </row>
    <row r="7" spans="1:6" x14ac:dyDescent="0.25">
      <c r="A7" s="38">
        <v>46410</v>
      </c>
      <c r="B7" s="38">
        <v>46422</v>
      </c>
      <c r="C7" s="6" t="s">
        <v>427</v>
      </c>
      <c r="D7" s="39" t="s">
        <v>424</v>
      </c>
      <c r="E7" s="6" t="s">
        <v>224</v>
      </c>
      <c r="F7" s="6">
        <f t="shared" si="0"/>
        <v>13</v>
      </c>
    </row>
    <row r="8" spans="1:6" x14ac:dyDescent="0.25">
      <c r="A8" s="38">
        <v>46437</v>
      </c>
      <c r="B8" s="38">
        <v>46440</v>
      </c>
      <c r="C8" s="6" t="s">
        <v>428</v>
      </c>
      <c r="D8" s="39" t="s">
        <v>429</v>
      </c>
      <c r="E8" s="6" t="s">
        <v>213</v>
      </c>
      <c r="F8" s="6">
        <f t="shared" si="0"/>
        <v>4</v>
      </c>
    </row>
    <row r="9" spans="1:6" x14ac:dyDescent="0.25">
      <c r="A9" s="38">
        <v>46444</v>
      </c>
      <c r="B9" s="38">
        <v>46459</v>
      </c>
      <c r="C9" s="6" t="s">
        <v>430</v>
      </c>
      <c r="D9" s="39" t="s">
        <v>431</v>
      </c>
      <c r="E9" s="6" t="s">
        <v>213</v>
      </c>
      <c r="F9" s="6">
        <f t="shared" si="0"/>
        <v>16</v>
      </c>
    </row>
    <row r="10" spans="1:6" x14ac:dyDescent="0.25">
      <c r="A10" s="38">
        <v>46514</v>
      </c>
      <c r="B10" s="38">
        <v>46529</v>
      </c>
      <c r="C10" s="6" t="s">
        <v>432</v>
      </c>
      <c r="D10" s="39" t="s">
        <v>433</v>
      </c>
      <c r="E10" s="6" t="s">
        <v>213</v>
      </c>
      <c r="F10" s="6">
        <f t="shared" si="0"/>
        <v>16</v>
      </c>
    </row>
    <row r="11" spans="1:6" x14ac:dyDescent="0.25">
      <c r="A11" s="38">
        <v>46529</v>
      </c>
      <c r="B11" s="38">
        <v>46534</v>
      </c>
      <c r="C11" s="6" t="s">
        <v>434</v>
      </c>
      <c r="D11" s="39" t="s">
        <v>435</v>
      </c>
      <c r="E11" s="6" t="s">
        <v>224</v>
      </c>
      <c r="F11" s="6">
        <f t="shared" si="0"/>
        <v>6</v>
      </c>
    </row>
    <row r="13" spans="1:6" x14ac:dyDescent="0.25">
      <c r="A13" s="40" t="s">
        <v>436</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41b2ac2a-ff0b-436b-9840-060514e3e322}" enabled="1" method="Standard" siteId="{617ac672-c8b6-4cd8-a860-5effd359ac35}"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Guide</vt:lpstr>
      <vt:lpstr>Events</vt:lpstr>
      <vt:lpstr>Lists</vt:lpstr>
      <vt:lpstr>Off-Periods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Mahmoud Serag</cp:lastModifiedBy>
  <cp:revision>0</cp:revision>
  <dcterms:created xsi:type="dcterms:W3CDTF">2026-10-01T05:34:54Z</dcterms:created>
  <dcterms:modified xsi:type="dcterms:W3CDTF">2026-10-01T06:18:32Z</dcterms:modified>
  <dc:language>en-US</dc:language>
</cp:coreProperties>
</file>